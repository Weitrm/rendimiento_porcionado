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3665" yWindow="0" windowWidth="15240" windowHeight="15585"/>
  </bookViews>
  <sheets>
    <sheet sheetId="1" name="porcionados" state="visible" r:id="rId4"/>
    <sheet sheetId="2" name="asados" state="hidden" r:id="rId5"/>
    <sheet sheetId="3" name="logs" state="visible" r:id="rId6"/>
    <sheet sheetId="4" name="mano de obra" state="visible" r:id="rId7"/>
    <sheet sheetId="5" name="VNR" state="visible" r:id="rId8"/>
    <sheet sheetId="6" name="envases" state="visible" r:id="rId9"/>
    <sheet sheetId="7" name="resultado" state="visible" r:id="rId10"/>
    <sheet sheetId="8" name="insumos" state="visible" r:id="rId11"/>
    <sheet sheetId="9" name="hacienda" state="visible" r:id="rId12"/>
    <sheet sheetId="11" name="Resumen Costos Envases" state="visible" r:id="rId13"/>
  </sheets>
  <definedNames>
    <definedName name="_xlnm._FilterDatabase">porcionados!$A$2:$AD$131</definedName>
    <definedName name="_xlnm.Print_Area" localSheetId="0">'porcionados'!$A1:$P41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M51" authorId="0">
      <text/>
    </comment>
    <comment ref="C52" authorId="0">
      <text/>
    </comment>
    <comment ref="M52" authorId="0">
      <text/>
    </comment>
    <comment ref="L57" authorId="0">
      <text/>
    </comment>
  </commentList>
</comments>
</file>

<file path=xl/sharedStrings.xml><?xml version="1.0" encoding="utf-8"?>
<sst xmlns="http://schemas.openxmlformats.org/spreadsheetml/2006/main" count="8921" uniqueCount="1452">
  <si>
    <t>PORCIONADOS</t>
  </si>
  <si>
    <t>dólar</t>
  </si>
  <si>
    <t>ENTRADA</t>
  </si>
  <si>
    <t>ACUMULADO</t>
  </si>
  <si>
    <t xml:space="preserve">precio </t>
  </si>
  <si>
    <t>Total</t>
  </si>
  <si>
    <t>Códigos</t>
  </si>
  <si>
    <t>Productos</t>
  </si>
  <si>
    <t>kls.</t>
  </si>
  <si>
    <t>U$S</t>
  </si>
  <si>
    <t>Asado 13 costillas Pasto</t>
  </si>
  <si>
    <t>Asado 13 costillas s/p Pasto</t>
  </si>
  <si>
    <t>Asado 13/C (Grano)</t>
  </si>
  <si>
    <t>Asado 13 costillas Grano s/p</t>
  </si>
  <si>
    <t>Asado 13/c s/pulpon (grano) Compra</t>
  </si>
  <si>
    <t>Falda con hueso Pasto</t>
  </si>
  <si>
    <t>Vacio (Bolsa)</t>
  </si>
  <si>
    <t>Falda con hueso Grano</t>
  </si>
  <si>
    <t>Entraña Gruesa Fresca</t>
  </si>
  <si>
    <t>Entraña fina</t>
  </si>
  <si>
    <t>Quijada</t>
  </si>
  <si>
    <t>Mondongo</t>
  </si>
  <si>
    <t>Entraña Fina</t>
  </si>
  <si>
    <t>TRIMMING ESPECIAL</t>
  </si>
  <si>
    <t>Chinchulines</t>
  </si>
  <si>
    <t>Mollejas</t>
  </si>
  <si>
    <t>Riñon c/grasa</t>
  </si>
  <si>
    <t>Quijada Feedlot Fresca</t>
  </si>
  <si>
    <t>Quijadas - Cheek Meat</t>
  </si>
  <si>
    <t>Carne Chica</t>
  </si>
  <si>
    <t>Trimmings Especial</t>
  </si>
  <si>
    <t>Bife Ancho 7/c 1x1 GF</t>
  </si>
  <si>
    <t>Bife Angosto Vila Congelado</t>
  </si>
  <si>
    <t>Osobuco Vila Cong.</t>
  </si>
  <si>
    <t>Colita de Cuadril Vila Congelada</t>
  </si>
  <si>
    <t>Chuck Vila</t>
  </si>
  <si>
    <t>Bife Ancho Vila</t>
  </si>
  <si>
    <t>Lomo Vila</t>
  </si>
  <si>
    <t>Lomito de Paleta Vila</t>
  </si>
  <si>
    <t>Entraña Fina EL RANCHO</t>
  </si>
  <si>
    <t>Sobrante - Aguja</t>
  </si>
  <si>
    <t>Sobrante - Denver</t>
  </si>
  <si>
    <t>Sobrante - Paleta</t>
  </si>
  <si>
    <t>Sobrante - Bife Ancho</t>
  </si>
  <si>
    <t>Sobrante - Colita</t>
  </si>
  <si>
    <t>Sobrante - Picaña</t>
  </si>
  <si>
    <t>Sobrante - Cuadrada</t>
  </si>
  <si>
    <t>Sobrante - Peceto</t>
  </si>
  <si>
    <t>Sobrante - Lomo 980030</t>
  </si>
  <si>
    <t>Sobrante - Bife Angosto</t>
  </si>
  <si>
    <t>Sobrante - Vacio 980032</t>
  </si>
  <si>
    <t>Sobrante - Palomita 980033</t>
  </si>
  <si>
    <t>Sobrante - Matambre</t>
  </si>
  <si>
    <t>Sobrante - falda</t>
  </si>
  <si>
    <t>Sobrante - Arañita</t>
  </si>
  <si>
    <t>Sobrante - Asado 980060</t>
  </si>
  <si>
    <t>Sobrante - Entraña</t>
  </si>
  <si>
    <t>Sobrante - Trimming</t>
  </si>
  <si>
    <t>Sobrante - Manta</t>
  </si>
  <si>
    <t>Sobrante - Molleja</t>
  </si>
  <si>
    <t>Matambre block - Carne sin envasar logs</t>
  </si>
  <si>
    <t>Brazuelo s/h c/conical</t>
  </si>
  <si>
    <t>Pasta Abasto</t>
  </si>
  <si>
    <t>Trimmings Picada (25 kg)</t>
  </si>
  <si>
    <t>Brazuelo Garron x1kg - Shin/shank Angus GF</t>
  </si>
  <si>
    <t xml:space="preserve">Brazuelo s/h c/conical GF Angus </t>
  </si>
  <si>
    <t>Tortuguita c/bananita Grain Fed Angus - Heel Muscle With Golden Coin</t>
  </si>
  <si>
    <t>Garron s/h GF Angus</t>
  </si>
  <si>
    <t>Recorte (C.F.)</t>
  </si>
  <si>
    <t>Paleta sin marcuha Logs</t>
  </si>
  <si>
    <t>Marucha para Porcionar</t>
  </si>
  <si>
    <t>Nalga S/T</t>
  </si>
  <si>
    <t>Colita de Cuadril</t>
  </si>
  <si>
    <t>Picanhas</t>
  </si>
  <si>
    <t>Bola de Logo logs</t>
  </si>
  <si>
    <t>Peceto Logs</t>
  </si>
  <si>
    <t>Lomo s/c para porcionar</t>
  </si>
  <si>
    <t>Tapa de Vacio Logs</t>
  </si>
  <si>
    <t>Bife de Vacio</t>
  </si>
  <si>
    <t>Punta de Matambre logs</t>
  </si>
  <si>
    <t>Garron para Porcionar</t>
  </si>
  <si>
    <t>Osobuco</t>
  </si>
  <si>
    <t>Arañita</t>
  </si>
  <si>
    <t>Tapa de Asado logs</t>
  </si>
  <si>
    <t>Entraña Interna</t>
  </si>
  <si>
    <t>Tapa de Nalga Logs</t>
  </si>
  <si>
    <t>Flap</t>
  </si>
  <si>
    <t>Matambre para porcionado</t>
  </si>
  <si>
    <t>Bife Ancho + 2 kls. Grano</t>
  </si>
  <si>
    <t>Bife Angosto c/c c/grasa de 3 a 4 kls.</t>
  </si>
  <si>
    <t>Aguja GF</t>
  </si>
  <si>
    <t>Bife Angosto para logs</t>
  </si>
  <si>
    <t>Tejido Conectivo Logs</t>
  </si>
  <si>
    <t>Bife de Paleta</t>
  </si>
  <si>
    <t>Corazon de Cuadril ER - Heart of Rump</t>
  </si>
  <si>
    <t>Bife Ancho Vila - Filé de costela</t>
  </si>
  <si>
    <t>Bife Ancho Porcion 330g UMI - Filé de Costela Fatiado</t>
  </si>
  <si>
    <t>Bife Ancho Porcion 330g INK - Filé de Costela Fatiado</t>
  </si>
  <si>
    <t>Marucha UMI - Flat Iron</t>
  </si>
  <si>
    <t>Bife Ancho UMI - Ribeye</t>
  </si>
  <si>
    <t>Bife Ancho INK - Ribeye</t>
  </si>
  <si>
    <t>Bife Angosto INK - Striploin</t>
  </si>
  <si>
    <t xml:space="preserve">Carne picada x500 g UMI </t>
  </si>
  <si>
    <t>Asado 4c Manta Grano</t>
  </si>
  <si>
    <t>ASADO</t>
  </si>
  <si>
    <t>ASADO 3C</t>
  </si>
  <si>
    <t>ASADO NIREA</t>
  </si>
  <si>
    <t>ASADO 5C</t>
  </si>
  <si>
    <t>ASADO CON HUESO</t>
  </si>
  <si>
    <t>ASADO C/H TRASERO</t>
  </si>
  <si>
    <t>Falda Nirea Pasto (bins)</t>
  </si>
  <si>
    <t>Falda Nirea Grano (bins)</t>
  </si>
  <si>
    <t>FALDA C/H BOV CONG. BLOQ.</t>
  </si>
  <si>
    <t>Tapa de Cuadril VILA - Picanha</t>
  </si>
  <si>
    <t>Asado c/h 4/c UMI</t>
  </si>
  <si>
    <t>Asado c/h 4/c Taurus</t>
  </si>
  <si>
    <t>Asado de Aguja (4c)</t>
  </si>
  <si>
    <t>Asado c/h 3c Grano</t>
  </si>
  <si>
    <t>Asado c/h Trasero GF</t>
  </si>
  <si>
    <t>Falda s/h Taurus</t>
  </si>
  <si>
    <t>Falda s/h Grano</t>
  </si>
  <si>
    <t>Colita de Cuadril (Nirea)</t>
  </si>
  <si>
    <t>Colita de Cuadril GRANO</t>
  </si>
  <si>
    <t>Trimmings 50 cl LOGS</t>
  </si>
  <si>
    <t>Entraña Fina Grano</t>
  </si>
  <si>
    <t>Cuadrada LOGS</t>
  </si>
  <si>
    <t>Molleja vacuna ( NIREA)</t>
  </si>
  <si>
    <t>Entrada Hamburguesas</t>
  </si>
  <si>
    <t>Carne chica</t>
  </si>
  <si>
    <t>Trimming Especial</t>
  </si>
  <si>
    <t>Matambre Block - Carne sin envasar Logs</t>
  </si>
  <si>
    <t>Punta de Matambre Logs</t>
  </si>
  <si>
    <t>Tapa de Asado s/h Logs</t>
  </si>
  <si>
    <t>TOTAL</t>
  </si>
  <si>
    <t>Envasado</t>
  </si>
  <si>
    <t>SALIDA</t>
  </si>
  <si>
    <t>Hueso para volqueta</t>
  </si>
  <si>
    <t>Grasa para volqueta</t>
  </si>
  <si>
    <t>Tela de Entraña</t>
  </si>
  <si>
    <t>Aserrin</t>
  </si>
  <si>
    <t>TRIMMINGS ANGUS 80 CL (13)</t>
  </si>
  <si>
    <t>Matambre</t>
  </si>
  <si>
    <t>Cabeza de lomo</t>
  </si>
  <si>
    <t>Bife Ancho 5/c 2kg up</t>
  </si>
  <si>
    <t>Nalga s/t feteada (6mm)</t>
  </si>
  <si>
    <t>Vacio Entero - Vacio Grueso</t>
  </si>
  <si>
    <t>Mollejas Vacunas congeladas )al vacio)</t>
  </si>
  <si>
    <t>Peceto Feteado (6mm)</t>
  </si>
  <si>
    <t>ASADO TIRA 8/C (Vacum pack) GF</t>
  </si>
  <si>
    <t>Asado (al vacio) 8 costillas</t>
  </si>
  <si>
    <t>Picada Premium Vila</t>
  </si>
  <si>
    <t>Osobuco Vila cong.</t>
  </si>
  <si>
    <t xml:space="preserve"> Asado del Rey VILA cong.</t>
  </si>
  <si>
    <t>Entraña Fina Vila Cong.</t>
  </si>
  <si>
    <t>Asado 2 y medio Vila</t>
  </si>
  <si>
    <t>Mondongi Vila Cong.</t>
  </si>
  <si>
    <t>Asado 3/c en tiras Vila</t>
  </si>
  <si>
    <t>Riñon Vacuno Vila</t>
  </si>
  <si>
    <t>Asado 4 costillas en tiras</t>
  </si>
  <si>
    <t>Asado 5 costillas en tiras</t>
  </si>
  <si>
    <t>Mollejas Vacunas</t>
  </si>
  <si>
    <t>Chuck</t>
  </si>
  <si>
    <t>Tapa de Aguja</t>
  </si>
  <si>
    <t>Bife Ancho</t>
  </si>
  <si>
    <t>Tapa de Cuadril</t>
  </si>
  <si>
    <t>Pecetos</t>
  </si>
  <si>
    <t>Bife Angosto</t>
  </si>
  <si>
    <t xml:space="preserve">Matambre </t>
  </si>
  <si>
    <t>Arañitas</t>
  </si>
  <si>
    <t>Entraña Americana</t>
  </si>
  <si>
    <t>Vacio Grueso</t>
  </si>
  <si>
    <t>Asado 4/c (manta) UMI</t>
  </si>
  <si>
    <t>Bife Ancho Porcionado UMI</t>
  </si>
  <si>
    <t>Chuck EL RANCHO</t>
  </si>
  <si>
    <t>Colita de Cuadril EL RANCHO</t>
  </si>
  <si>
    <t>Bife de Vacio EL RANCHO</t>
  </si>
  <si>
    <t>Matambre EL RANCHO</t>
  </si>
  <si>
    <t>Flap meat Vacio EL RANCHO</t>
  </si>
  <si>
    <t>Picada Premium EL RANCHO</t>
  </si>
  <si>
    <t>Asado 4 costillas manta EL RANCHO</t>
  </si>
  <si>
    <t>Asado 3 Costilas Tira EL RANCHO</t>
  </si>
  <si>
    <t>Chinchulines EL RANCHO</t>
  </si>
  <si>
    <t>Riñon Vacuno EL RANCHO</t>
  </si>
  <si>
    <t>Asado 5 Costillas tira EL RANCHO</t>
  </si>
  <si>
    <t>Asado 7 Costillas tira EL RANCHO</t>
  </si>
  <si>
    <t>Mollejas EL RANCHO</t>
  </si>
  <si>
    <t>Quijada CC - (Maseteros) / Cheek Meat</t>
  </si>
  <si>
    <t>Quijada Angus - (Maseteros) / Cheek Meat</t>
  </si>
  <si>
    <t>Quijada Grain Fed Vila</t>
  </si>
  <si>
    <t>Sobrante Bife Ancho</t>
  </si>
  <si>
    <t>Sobrante Colita</t>
  </si>
  <si>
    <t>Picanha Sobrante de producción</t>
  </si>
  <si>
    <t>Sobrante - B. Angosto 980031</t>
  </si>
  <si>
    <t>SOBRANTE - ASADO 980060</t>
  </si>
  <si>
    <t>Sobrante - Trimmings 980090</t>
  </si>
  <si>
    <t>Sobrante Hamburguesa Vila en Cajita</t>
  </si>
  <si>
    <t>FALDA C/H INTERF. Bone In Beef Navel Plate</t>
  </si>
  <si>
    <t>Trozos de carne 70VL - BEEF PIECES 70VL GF ANGUS</t>
  </si>
  <si>
    <t>Trozos de carne 10VL - BEEF PIECES 10VL Grain fed</t>
  </si>
  <si>
    <t>ASADO C/H TRASERO GRAIN FED - HIND RIBS</t>
  </si>
  <si>
    <t>Trozos de carne 55VL - BEEF PIECES 55VL GF ANGUS</t>
  </si>
  <si>
    <t>Trozos de carne 65VL - BEEF PIECES 65VL GF ANGUS</t>
  </si>
  <si>
    <t>ASADO C/H 5/c (delantero) - Rib Plate</t>
  </si>
  <si>
    <t xml:space="preserve">Trozos de carne 75VL - BEEF PIECES 75VL GF ANGUS </t>
  </si>
  <si>
    <t>Membrana Flank Steak - FLANK STEAK MEMBRANE</t>
  </si>
  <si>
    <t>Trozos de carne 80VL - BEEF PIECES 80VL ANGUS</t>
  </si>
  <si>
    <t>ASADO C/H 8/c (trasero) - Rib Plate</t>
  </si>
  <si>
    <t>VACIO GRUESO (3 X paq.) - Flap meat</t>
  </si>
  <si>
    <t>Entraña Fina (6 x paq) Outisde skirt Angus</t>
  </si>
  <si>
    <t>Entraña Interna Angus (4 xpaq.) - INSIDE SKIRT ANGUS</t>
  </si>
  <si>
    <t>Entraña Interna Black Angus GF (4 x paq.) - Inside Skirt</t>
  </si>
  <si>
    <t>TRIMMINGS ANGUS 85 CL</t>
  </si>
  <si>
    <t>TRIMMINGS ANGUS 90 CL</t>
  </si>
  <si>
    <t>Peceto Abasto</t>
  </si>
  <si>
    <t>PICADA ESPECIAL</t>
  </si>
  <si>
    <t>Asado Tiras</t>
  </si>
  <si>
    <t xml:space="preserve">Hamburguesas Test </t>
  </si>
  <si>
    <t>Hamburguesas Vila Test</t>
  </si>
  <si>
    <t>Asado 10/c Manta GF</t>
  </si>
  <si>
    <t>Asado 10/c Manta Abasto</t>
  </si>
  <si>
    <t>FALDA c/h Vila - Bone in Beef Navel Plate Grain Fed Angus</t>
  </si>
  <si>
    <t>Asado c/h 4/c (Aguja) - Chuck Short Ribs Grain fed Angus</t>
  </si>
  <si>
    <t>INTERCOSTALES CORTOS Vila - Rib fingers Grain Fed Angus</t>
  </si>
  <si>
    <t>Brazuelo Garron x1kg - Shin/Shank Angus GF</t>
  </si>
  <si>
    <t>Falda s/h - Brisket Navel End 120d GF Angus</t>
  </si>
  <si>
    <t>Asado de Centro c/h 3/c - Short Ribs grain fed angus</t>
  </si>
  <si>
    <t>INTERCOSTALES DE ASADO Vila - Intercostal Meat Grain Fed Angus</t>
  </si>
  <si>
    <t>Asado sin hueso - Top Plate GF Angus</t>
  </si>
  <si>
    <t>Trozos de Asado Vila - SHORT RIB PIECES GRAIN FED ANGUS</t>
  </si>
  <si>
    <t>Falda s/h Vila - Brisket Navel End</t>
  </si>
  <si>
    <t>Falda s/h TG - Brisket Navel End M3+</t>
  </si>
  <si>
    <t>Tapa de Vacio LOGS</t>
  </si>
  <si>
    <t>PUNTAS DE MATAMBRE LOGS</t>
  </si>
  <si>
    <t>TAPA DE ASADO S/H LOGS</t>
  </si>
  <si>
    <t>Manta Logs</t>
  </si>
  <si>
    <t>Bife Angosto - Logs</t>
  </si>
  <si>
    <t>Carnaza de Paleta Cubeteada - Diced Clod</t>
  </si>
  <si>
    <t>Carne Picada (1kg/paq) - Minced Beef (85VL)</t>
  </si>
  <si>
    <t>Entraña Gruesa (grass)</t>
  </si>
  <si>
    <t xml:space="preserve">Entraña gruesa (GF) </t>
  </si>
  <si>
    <t>Intercostales largos - Intercostal Meat</t>
  </si>
  <si>
    <t>Asado s/h 3/c (centro) - Boneless Short Ribs</t>
  </si>
  <si>
    <t xml:space="preserve">Asado s/h 4/c (Aguja) - Boneless Chuck Short Ribs   </t>
  </si>
  <si>
    <t>Vacio Grueso Vila +2 - Fralda</t>
  </si>
  <si>
    <t>Lomo s/c 2 - 3 lb GF Angus</t>
  </si>
  <si>
    <t>Asado 8/c en tiras GF Angus</t>
  </si>
  <si>
    <t>Bife Ancho Porcion Individual GF</t>
  </si>
  <si>
    <t>Bife Angosto Porcion Individual GF</t>
  </si>
  <si>
    <t>Asado c/h 4/c (Aguja) TG - Chuck short ribs</t>
  </si>
  <si>
    <t>Intercostales cortos TG - Rib fingers</t>
  </si>
  <si>
    <t>Falda s/hueso TG - Brisket Navel</t>
  </si>
  <si>
    <t xml:space="preserve">Asado c/h 3/c (centro) TG - Short ribs                                                              </t>
  </si>
  <si>
    <t>Tapa de Cuadril Vila -1.2kg - Picanha</t>
  </si>
  <si>
    <t>Colita de Cuadril UMI - Maminha da Alcatra</t>
  </si>
  <si>
    <t>Entraña fina UMI - DIAFRAGMA</t>
  </si>
  <si>
    <t>Vacio Grueso - Flap UMI - Fralda</t>
  </si>
  <si>
    <t>Bife Ancho Porcionado UMI 330g</t>
  </si>
  <si>
    <t>Flat Iron (Marucha) UMI - Raquete</t>
  </si>
  <si>
    <t>Bife Angosto Porcionado UMI 330g</t>
  </si>
  <si>
    <t xml:space="preserve">ASADO 4C EN TIRAS UMI - COSTELA DO DIANTEIRO (EM TIRAS) </t>
  </si>
  <si>
    <t>Marucha (Flat Iron) INK - Raquete</t>
  </si>
  <si>
    <t>Entraña Fina INK - DIAFRAGMA</t>
  </si>
  <si>
    <t>B.Ancho Porcion INK 300g - File de Costela Fatiado</t>
  </si>
  <si>
    <t>Vacio Grueso (rojo) - Fralda</t>
  </si>
  <si>
    <t>Colita de Cuadril Vila - Maminha da Alcatra</t>
  </si>
  <si>
    <t>ASADO 4C VILA - COSTELA DO DIANTEIRO</t>
  </si>
  <si>
    <t>Tapa de Cuadril Vila - Picanha</t>
  </si>
  <si>
    <t>Vacio Grueso Vila - Fralda</t>
  </si>
  <si>
    <t>Intercostales INK</t>
  </si>
  <si>
    <t>Intercostales MBS +7 INK</t>
  </si>
  <si>
    <t>Falda s/h MBS +7 INK</t>
  </si>
  <si>
    <t>Asado s/h 4/c (Aguja) - Chuck Short Ribs INK</t>
  </si>
  <si>
    <t>Asado de Centro s/h 3/c - Rib Plate INK</t>
  </si>
  <si>
    <t>Carne Bovina Picada Congelada</t>
  </si>
  <si>
    <t>Diferencia entrada / salida</t>
  </si>
  <si>
    <t>Rendimiento</t>
  </si>
  <si>
    <t>Acumulado</t>
  </si>
  <si>
    <t>Mano de Obra</t>
  </si>
  <si>
    <t>Hs.</t>
  </si>
  <si>
    <t>Operarios Ontilcor</t>
  </si>
  <si>
    <t>Operarios Tercerizados</t>
  </si>
  <si>
    <t>Total M. Obra</t>
  </si>
  <si>
    <t>Envases</t>
  </si>
  <si>
    <t>Servicios</t>
  </si>
  <si>
    <t>m.obra</t>
  </si>
  <si>
    <t>gtos vbles vtas</t>
  </si>
  <si>
    <t>Asados y porcionados</t>
  </si>
  <si>
    <t>logs</t>
  </si>
  <si>
    <t>reintegros / deducciones</t>
  </si>
  <si>
    <t>entrada de Materia prima</t>
  </si>
  <si>
    <t>código</t>
  </si>
  <si>
    <t>Producto</t>
  </si>
  <si>
    <t>$ c/imp.</t>
  </si>
  <si>
    <t>Asado 13 costillas Pasto s/p Nirea</t>
  </si>
  <si>
    <t>Asado 13 costillas Grano s/p Nirea</t>
  </si>
  <si>
    <t>Asado 1 Costilla UMI</t>
  </si>
  <si>
    <t>Asado 8c (manta) UMI</t>
  </si>
  <si>
    <t>ASADO SIN HUESO</t>
  </si>
  <si>
    <t>Salida Producto Final</t>
  </si>
  <si>
    <t>U$S total x kg</t>
  </si>
  <si>
    <t xml:space="preserve">TRIMMINGS ANGUS 80 CL (13)                                                                          </t>
  </si>
  <si>
    <t xml:space="preserve">ASADO TIRA 8/C (Vacum pack) GF                                                                      </t>
  </si>
  <si>
    <t>Asado 1  Costilla (Asado del Rey) UMI</t>
  </si>
  <si>
    <t>Asado del Rey EL RANCHO</t>
  </si>
  <si>
    <t>Asado 3 costillas tira EL RANCHO</t>
  </si>
  <si>
    <t>Asado 5 costillas tira EL RANCHO</t>
  </si>
  <si>
    <t>Asado 7 costillas tira EL RANCHO</t>
  </si>
  <si>
    <t xml:space="preserve">SOBRANTE - ASADO 980060                                                                             </t>
  </si>
  <si>
    <t>SOBRANTE - MATAMBRE</t>
  </si>
  <si>
    <t>Matambre block -carne sin envasar logs</t>
  </si>
  <si>
    <t xml:space="preserve">FALDA C/H INTERF. Bone In Beef Navel Plate                                                          </t>
  </si>
  <si>
    <t xml:space="preserve">Trozos de carne 70VL - BEEF PIECES 70VL GF ANGUS                                                    </t>
  </si>
  <si>
    <t xml:space="preserve">ASADO C/H TRASERO GRAIN FED - HIND RIBS                                                             </t>
  </si>
  <si>
    <t xml:space="preserve">Trozos de carne 10VL - BEEF PIECES 10VL Grain fed                                                    </t>
  </si>
  <si>
    <t xml:space="preserve">Trozos de carne 55VL - BEEF PIECES 55VL GF ANGUS                                                    </t>
  </si>
  <si>
    <t>Asado c/h 3/c - fozen Beef bone in Ribs Angus (3 ribs)</t>
  </si>
  <si>
    <t xml:space="preserve">ASADO C/H 5/c (delantero) - Rib Plate                                                               </t>
  </si>
  <si>
    <t xml:space="preserve">Trozos de carne 75VL - BEEF PIECES 75VL GF ANGUS                                                    </t>
  </si>
  <si>
    <t xml:space="preserve">Trozos de carne 80VL - BEEF PIECES 80VL ANGUS                                                       </t>
  </si>
  <si>
    <t xml:space="preserve">ASADO C/H 8/c (trasero) - Rib Plate                                                                 </t>
  </si>
  <si>
    <t xml:space="preserve">VACIO GRUESO (3 X paq.) - Flap meat                                                                 </t>
  </si>
  <si>
    <t>Bife de Vacio (Inter) - Flank steak</t>
  </si>
  <si>
    <t xml:space="preserve">TRIMMINGS ANGUS 75 CL                                                                               </t>
  </si>
  <si>
    <t xml:space="preserve">TRIMMINGS ANGUS 85 CL                                                                               </t>
  </si>
  <si>
    <t xml:space="preserve">TRIMMINGS ANGUS 90 CL                                                                               </t>
  </si>
  <si>
    <t>Asado 10/c Manta GF (inter)</t>
  </si>
  <si>
    <t>Asado 10/c Manta Abasto (grass)</t>
  </si>
  <si>
    <t xml:space="preserve">FALDA c/h Vila - Bone in Beef Navel Plate Grain Fed Angus                                           </t>
  </si>
  <si>
    <t xml:space="preserve">INTERCOSTALES DE ASADO Vila - Intercostal Meat Grain Fed Angus                                      </t>
  </si>
  <si>
    <t xml:space="preserve">Trozos de Asado Vila - SHORT RIB PIECES GRAIN FED ANGUS                                             </t>
  </si>
  <si>
    <t xml:space="preserve">PUNTAS DE MATAMBRE LOGS                                                                             </t>
  </si>
  <si>
    <t xml:space="preserve">TAPA DE ASADO S/H LOGS                                                                              </t>
  </si>
  <si>
    <t>Falda s/h - Brisket Navel Plate</t>
  </si>
  <si>
    <t xml:space="preserve">Asado s/h 4/c (Aguja) - Boneless Chuck Short Ribs                                                   </t>
  </si>
  <si>
    <t xml:space="preserve">Asado c/h 4/c (Aguja) TG - Chuck short ribs                                                         </t>
  </si>
  <si>
    <t>Asado 7C 2tiras VILA ANGUS - COSTELA DO DIANTEIRO (EM TIRAS)</t>
  </si>
  <si>
    <t>ASADO 4C TIRAS PREMIUM VILA ANGUS - COSTELA DO DIANTEIRO (EM TIRAS)</t>
  </si>
  <si>
    <t>ASADO 1C UMI - COSTELA DO TRASEIRO</t>
  </si>
  <si>
    <t>ASADO 4C (manta) UMI - COSTELA DO DIANTEIRO</t>
  </si>
  <si>
    <t>ASADO S/hueso INK - COSTELA DO DIANTEIRO</t>
  </si>
  <si>
    <t>ASADO 1C VILA - COSTELA DO TRASEIRO</t>
  </si>
  <si>
    <t>ASADO 4C (tiras) VILA - COSTELA DO DIANTEIRO (EM TIRAS)</t>
  </si>
  <si>
    <t>ASADO 5C (manta) VILA - COSTELA DO DIANTEIRO</t>
  </si>
  <si>
    <t>Asado s/h iNK - Top Blade</t>
  </si>
  <si>
    <t>Asado c/h 1/c VILA - Hindquarter Rib</t>
  </si>
  <si>
    <t>Asado c/h 4/c (Aguja) UMI - Chuck Short Ribs</t>
  </si>
  <si>
    <t>Diferencia Entrada/Salida</t>
  </si>
  <si>
    <t>Prec/U$S</t>
  </si>
  <si>
    <t>Total U$S</t>
  </si>
  <si>
    <t>Operarios Ontilcor - Producción</t>
  </si>
  <si>
    <t>Operarios Terecerizados - Producción</t>
  </si>
  <si>
    <t>Operarios Ontilcor - Producción encajonado China</t>
  </si>
  <si>
    <t>Operarios Terecerizados - Producción encajonado China</t>
  </si>
  <si>
    <t>Total Mano de Obra</t>
  </si>
  <si>
    <t>entrada de Materia prima y aditivos</t>
  </si>
  <si>
    <t>Sobrante - Manta 980091</t>
  </si>
  <si>
    <t>Cuadrada China</t>
  </si>
  <si>
    <t>Aguja</t>
  </si>
  <si>
    <t>Recorte (C.F)</t>
  </si>
  <si>
    <t>Paleta sin marucha Logs</t>
  </si>
  <si>
    <t>Nalga c/t logs</t>
  </si>
  <si>
    <t>Nalga s/t logs</t>
  </si>
  <si>
    <t>Cuadrada Logs</t>
  </si>
  <si>
    <t>Bola de Lomo Logs</t>
  </si>
  <si>
    <t>Bife Angosto Pasto</t>
  </si>
  <si>
    <t>Puntas de Matambre Logs</t>
  </si>
  <si>
    <t>Arañita logs (grano)</t>
  </si>
  <si>
    <t>Tapa de Asado s/h logs</t>
  </si>
  <si>
    <t>Sobrante Mat. Prima preparada para logs</t>
  </si>
  <si>
    <t>Arañita logs (pasto)</t>
  </si>
  <si>
    <t>Pecho s/h Congelado Logs</t>
  </si>
  <si>
    <t xml:space="preserve">Solapa de Pecho logs </t>
  </si>
  <si>
    <t>Bife Ancho Logs</t>
  </si>
  <si>
    <t>Bife Angosto para Logs</t>
  </si>
  <si>
    <t>Trimmings 85 CL Logs en caja</t>
  </si>
  <si>
    <t>Tejido conectivo Logs</t>
  </si>
  <si>
    <t>Corcho de Cuadril logs</t>
  </si>
  <si>
    <t>Logs #F3603B</t>
  </si>
  <si>
    <t>Aguja - Carne sin envasar logs (congelado)</t>
  </si>
  <si>
    <t>Paleta - Carne sin envasar logs (congelado)</t>
  </si>
  <si>
    <t>Bola de Lomo Logs - Carne sin envasar</t>
  </si>
  <si>
    <t>B. Angosto - para beef logs (congelado)</t>
  </si>
  <si>
    <t>Matambre Block - Carne sin envasar logs (congelado)</t>
  </si>
  <si>
    <t>Manta - Carne sin envasar logs (congelado)</t>
  </si>
  <si>
    <t xml:space="preserve">Tapa de Nalga Manta (Logs) - Carne sin envasar </t>
  </si>
  <si>
    <t>Tapa de Vacio - Carne sin envasar logs (congelado)</t>
  </si>
  <si>
    <t>Solapa de Pecho - Carne sin envasar logs (congelado)</t>
  </si>
  <si>
    <t>Tejido conectivo Logs - (congelado)</t>
  </si>
  <si>
    <t>Corcho de Cuadril - Carne sin envasar logs (congelado)</t>
  </si>
  <si>
    <t>Bola de lomo logs</t>
  </si>
  <si>
    <t>Colita de Cuadril Logs</t>
  </si>
  <si>
    <t>Peceto LOGS</t>
  </si>
  <si>
    <t>Peceto NIREA</t>
  </si>
  <si>
    <t>Trimming 50cl LOGS</t>
  </si>
  <si>
    <t xml:space="preserve">Paleta </t>
  </si>
  <si>
    <t>Materia prima logs</t>
  </si>
  <si>
    <t>Nalga s/tapa</t>
  </si>
  <si>
    <t>Bola de Lomo Abasto</t>
  </si>
  <si>
    <t>Cuadrada</t>
  </si>
  <si>
    <t>Decomiso</t>
  </si>
  <si>
    <t>Grasa Logs</t>
  </si>
  <si>
    <t>Logs Phillys Best - Sin envasar</t>
  </si>
  <si>
    <t>Logs 93 Cl Molde Chico - sin envasar</t>
  </si>
  <si>
    <t>Canchadas Philly's Best</t>
  </si>
  <si>
    <t>Canchadas Comun</t>
  </si>
  <si>
    <t>Horas Trabajadas</t>
  </si>
  <si>
    <t>Tot/U$S</t>
  </si>
  <si>
    <t>Personal Tercerizado - Producción</t>
  </si>
  <si>
    <t>Pesonal Ontilcor SA - Producción</t>
  </si>
  <si>
    <t>Personal Tercerizado - Desmolde</t>
  </si>
  <si>
    <t>Pesonal Ontilcor SA - Desmolde</t>
  </si>
  <si>
    <t>Aditivos</t>
  </si>
  <si>
    <t>Philly's Best</t>
  </si>
  <si>
    <t>Agua</t>
  </si>
  <si>
    <t>Especies</t>
  </si>
  <si>
    <t>Desmolde Entrada</t>
  </si>
  <si>
    <t>Sobrante - Logs Phillys Best</t>
  </si>
  <si>
    <t xml:space="preserve">Sobrante Logs - Molde chico </t>
  </si>
  <si>
    <t>Logs 93 CL Molde Chico - sin envasar</t>
  </si>
  <si>
    <t>Sobrante - Logs Molde Chico</t>
  </si>
  <si>
    <t>Logs Lean</t>
  </si>
  <si>
    <t>Logs Philly's Best</t>
  </si>
  <si>
    <t>Logs Lean Angus</t>
  </si>
  <si>
    <t xml:space="preserve"> </t>
  </si>
  <si>
    <t>T. Cambio $</t>
  </si>
  <si>
    <t>aportes patronales</t>
  </si>
  <si>
    <t>bse</t>
  </si>
  <si>
    <t>ag.Lic. Sv y ap.patronal</t>
  </si>
  <si>
    <t>prev.despido</t>
  </si>
  <si>
    <t>por hora</t>
  </si>
  <si>
    <t>más prima</t>
  </si>
  <si>
    <t>y cargas sociales</t>
  </si>
  <si>
    <t>Costo</t>
  </si>
  <si>
    <t>total</t>
  </si>
  <si>
    <t>Ofic. Esp.</t>
  </si>
  <si>
    <t>Oficial A</t>
  </si>
  <si>
    <t>Oficial B</t>
  </si>
  <si>
    <t>Medio Oficial</t>
  </si>
  <si>
    <t>Peón Pr</t>
  </si>
  <si>
    <t>Peón</t>
  </si>
  <si>
    <t xml:space="preserve">Promedio </t>
  </si>
  <si>
    <t>Nestor Larrosa</t>
  </si>
  <si>
    <t>valor hora</t>
  </si>
  <si>
    <t>M.obra</t>
  </si>
  <si>
    <t>envases</t>
  </si>
  <si>
    <t>servicios</t>
  </si>
  <si>
    <t>VNR</t>
  </si>
  <si>
    <t>Asado 13 costillas  Pasto</t>
  </si>
  <si>
    <t>Falda con hueso SJ - Pasto</t>
  </si>
  <si>
    <t>Falda con hueso SJ - El Rancho</t>
  </si>
  <si>
    <t>NIREA</t>
  </si>
  <si>
    <t xml:space="preserve">ASADO                                                                                               </t>
  </si>
  <si>
    <t xml:space="preserve">ASADO 3C                                                                                            </t>
  </si>
  <si>
    <t xml:space="preserve">Asado nirea                                                                                         </t>
  </si>
  <si>
    <t xml:space="preserve">ASADO 5C                                                                                            </t>
  </si>
  <si>
    <t xml:space="preserve">Asado con hueso                                                                                     </t>
  </si>
  <si>
    <t xml:space="preserve">ASADO C/H TRASERO                                                                                   </t>
  </si>
  <si>
    <t xml:space="preserve">Falda nirea ( caja)                                                                                 </t>
  </si>
  <si>
    <t>Falda nirea Taurus</t>
  </si>
  <si>
    <t xml:space="preserve">ASADO SIN HUESO (INTERCOSTALES)                                                                                   </t>
  </si>
  <si>
    <t>Pecho Nirea (bins)</t>
  </si>
  <si>
    <t>dólar 13/07/26</t>
  </si>
  <si>
    <t>438/439</t>
  </si>
  <si>
    <t>4410 UMI</t>
  </si>
  <si>
    <t>442 / 443 RANCHO</t>
  </si>
  <si>
    <t>6172 / 6173</t>
  </si>
  <si>
    <t>Precio UYU</t>
  </si>
  <si>
    <t>Precio U$S</t>
  </si>
  <si>
    <t>Envase Chuck</t>
  </si>
  <si>
    <t>Envase Bife Ancho</t>
  </si>
  <si>
    <t>Envase Bife Angosto 3,5 - 4 kg</t>
  </si>
  <si>
    <t>Envase Delantero C/H</t>
  </si>
  <si>
    <t>Envase Entraña fina (6x paquete)</t>
  </si>
  <si>
    <t>Envase Entraña gruesa (2x paquete)</t>
  </si>
  <si>
    <t>Envase Entraña gruesa (2x paquete) GF</t>
  </si>
  <si>
    <t xml:space="preserve">Envase Bife Ancho Porcionado </t>
  </si>
  <si>
    <t>Envase Carne Picada</t>
  </si>
  <si>
    <t>Envasado Colita de Cuadril</t>
  </si>
  <si>
    <t>Envasado Colita de Cuadril EL RANCHO</t>
  </si>
  <si>
    <t>Envase Trimming Angus 80CL</t>
  </si>
  <si>
    <t>Envasado Asado s/h 3c UMI</t>
  </si>
  <si>
    <t>Envasado Intercostales Cortos Taurus</t>
  </si>
  <si>
    <t>Envasado Asado 7c 2 tiras Vila</t>
  </si>
  <si>
    <t>Envase Asado 1/C UMI</t>
  </si>
  <si>
    <t>Envasado Asado S/H Ink</t>
  </si>
  <si>
    <t>Envase Asado 1/C Vila Brasil</t>
  </si>
  <si>
    <t>Envase Entraña gruesa (grass)</t>
  </si>
  <si>
    <t>Envase Colita de Cuadril - Maminha</t>
  </si>
  <si>
    <t>Envase Intercostales Largos INK</t>
  </si>
  <si>
    <t>Envasado Bife Ancho TG Porcionado</t>
  </si>
  <si>
    <t>Envase Cubos</t>
  </si>
  <si>
    <t>Envase Logs</t>
  </si>
  <si>
    <t>Código</t>
  </si>
  <si>
    <t>Asado Pasto a 5 y 8 costillas China</t>
  </si>
  <si>
    <t>Cantidad</t>
  </si>
  <si>
    <t>Insumos</t>
  </si>
  <si>
    <t>Insumo</t>
  </si>
  <si>
    <t xml:space="preserve">Tapa </t>
  </si>
  <si>
    <t>1 pallets fumigado</t>
  </si>
  <si>
    <t>Fondo</t>
  </si>
  <si>
    <t>Fondo Cofre</t>
  </si>
  <si>
    <t>FONDO ENFRIADO (nueva medida) 505x380x155 cm - MERCOPACK</t>
  </si>
  <si>
    <t>Fondo Congelado</t>
  </si>
  <si>
    <t>Tapa blanca enfriado</t>
  </si>
  <si>
    <t>Fondo cofre</t>
  </si>
  <si>
    <t>1 caja octogonal</t>
  </si>
  <si>
    <t>Bolsa 95 x 60</t>
  </si>
  <si>
    <t>TAPA VILA COFRE 156 (135)(gris) - Mpack</t>
  </si>
  <si>
    <t>TAPA VILA gris - 50x38x15.5 cm (nueva medida) - Mercopack</t>
  </si>
  <si>
    <t>3806</t>
  </si>
  <si>
    <t>TAPA BLANCA COFRE 135 - doble micro - MERCOPACK</t>
  </si>
  <si>
    <t>Tapa blanca congelado</t>
  </si>
  <si>
    <t>Fondo enfriado (nueva medida) 505x380x155 cm – MERCOPACK</t>
  </si>
  <si>
    <t>2055</t>
  </si>
  <si>
    <t>TAPA BLANCA 136  (cartulina)-  Mpack</t>
  </si>
  <si>
    <t>5653</t>
  </si>
  <si>
    <t>TAPA UMi CONGELADO (136) - IMPRIMEX</t>
  </si>
  <si>
    <t>6287</t>
  </si>
  <si>
    <t>TAPA 135 COFRE EL RANCHO - IMPRIMEX</t>
  </si>
  <si>
    <t>6265</t>
  </si>
  <si>
    <t>TAPA TAURUS BIFE ONTILCOR - MERCOPACK</t>
  </si>
  <si>
    <t>5251</t>
  </si>
  <si>
    <t>TAPA INK COFRE - IMPRIMEX</t>
  </si>
  <si>
    <t>1 sobre tapa</t>
  </si>
  <si>
    <t>Cinta adhesiva ( metros)</t>
  </si>
  <si>
    <t>SEPARADORES 530X290 – MERCOPACK</t>
  </si>
  <si>
    <t>3 unid. X caja</t>
  </si>
  <si>
    <t>Bolsa 95X60</t>
  </si>
  <si>
    <t>Bolsa 85x60</t>
  </si>
  <si>
    <t>Bolsa 85X60</t>
  </si>
  <si>
    <t>SEPARADORES 570x230 mm - MERCOPACK</t>
  </si>
  <si>
    <t>4 unid. X caja</t>
  </si>
  <si>
    <t>2 unid. X caja</t>
  </si>
  <si>
    <t>2105</t>
  </si>
  <si>
    <t>BOLSA 80 (60) x 75 /ø80 AZUL, impresa EN ROLLO - STRONG</t>
  </si>
  <si>
    <t>1 tapa</t>
  </si>
  <si>
    <t xml:space="preserve">Fajas </t>
  </si>
  <si>
    <t>1,8 metros</t>
  </si>
  <si>
    <t>1.8 metros</t>
  </si>
  <si>
    <t>5315</t>
  </si>
  <si>
    <t>BOLSA COFRE 85(60)X46/ø40, impr. en rollo, ROSADA - STRONG</t>
  </si>
  <si>
    <t>6280</t>
  </si>
  <si>
    <t>BOLSA NARANJA 85(60)X46/40 - STRONG</t>
  </si>
  <si>
    <t>5353</t>
  </si>
  <si>
    <t>BOLSA COFRE 85(60)X46/ø40, impr. en rollo, AMARILLA - STRONG</t>
  </si>
  <si>
    <t>1 bolsa de huesos china</t>
  </si>
  <si>
    <t>Film Strechs (0,160 kls.p/pallets)</t>
  </si>
  <si>
    <t>2 unidades</t>
  </si>
  <si>
    <t>Faja Numerada</t>
  </si>
  <si>
    <t>Pallets ( 30 cajas de 20 kls)</t>
  </si>
  <si>
    <t>Etiqueta Caja</t>
  </si>
  <si>
    <t>35 mts. Fleje</t>
  </si>
  <si>
    <t xml:space="preserve">Hoja separador </t>
  </si>
  <si>
    <t>Paquete</t>
  </si>
  <si>
    <t>160 grms film</t>
  </si>
  <si>
    <t>Rotulo bopp term 50 x 40</t>
  </si>
  <si>
    <t>6259</t>
  </si>
  <si>
    <t>BOBINA 280x650 MM IMP VILA - MERCOPACK</t>
  </si>
  <si>
    <t>5214</t>
  </si>
  <si>
    <t>BOLSA VACIO 18X67 SOLDA V  SB15- MERCOPACK</t>
  </si>
  <si>
    <t>Bolsa 31x40</t>
  </si>
  <si>
    <t>8 unid. X caja</t>
  </si>
  <si>
    <t>Bolsa 20x50</t>
  </si>
  <si>
    <t>10 unid. X caja</t>
  </si>
  <si>
    <t>Etiqueta 102x78 Bopp Term</t>
  </si>
  <si>
    <t>Bolsa 20x50 Vila</t>
  </si>
  <si>
    <t>5138</t>
  </si>
  <si>
    <t>ET.  BOPP TERM. 102X78 - RR</t>
  </si>
  <si>
    <t>12 unid. X caja</t>
  </si>
  <si>
    <t>4741</t>
  </si>
  <si>
    <t>BOLSA VACIO IMP. 20X50 - MERCOPACK</t>
  </si>
  <si>
    <t>bolsa celeste</t>
  </si>
  <si>
    <t>Etqiueta bopp termico 100 x 154 lisa RR</t>
  </si>
  <si>
    <t>Etiqueta delantera</t>
  </si>
  <si>
    <t>3887</t>
  </si>
  <si>
    <t>ET. BOPP TERMICO 100x050 LISA - RR</t>
  </si>
  <si>
    <t>Etiqueta Trasera 100x100</t>
  </si>
  <si>
    <t>28 unid. X caja</t>
  </si>
  <si>
    <t>35 unid. X caja</t>
  </si>
  <si>
    <t>9 unid. X caja</t>
  </si>
  <si>
    <t>16 unid. X caja</t>
  </si>
  <si>
    <t>6216</t>
  </si>
  <si>
    <t>ETIQUETAS BOPP MET.DOBLE CAPA 084X081 - ASADO 1 COSTILLA CONGELADO</t>
  </si>
  <si>
    <t>5250</t>
  </si>
  <si>
    <t>Et. INK OPP - 7.2X14 - IMPRIMEX</t>
  </si>
  <si>
    <t>Total por Caja</t>
  </si>
  <si>
    <t>Etiqueta Trasera</t>
  </si>
  <si>
    <t>peso prom. Caja</t>
  </si>
  <si>
    <t>TAPA BARRERA NEGRA 250 C (FILM PARA TERMOFORMADORA) - MULTIPACK DIAMALER</t>
  </si>
  <si>
    <t>5403</t>
  </si>
  <si>
    <t>BOLSA VACIO 31X45 UMI - MERCOPACK</t>
  </si>
  <si>
    <t>4972</t>
  </si>
  <si>
    <t>BOLSA VACIO 24x40 impr. TAURUS GOLD - MERCOPACK</t>
  </si>
  <si>
    <t>15 unid. X caja</t>
  </si>
  <si>
    <t>5462</t>
  </si>
  <si>
    <t>BOLSA VACIO 30x65/ø45 UMi - BEMIS</t>
  </si>
  <si>
    <t>6297</t>
  </si>
  <si>
    <t xml:space="preserve">BOLSA PARA VACIO 18X45 </t>
  </si>
  <si>
    <t>45 moldes x 12,2 kls</t>
  </si>
  <si>
    <t>Costo x kls</t>
  </si>
  <si>
    <t>FONDO BARRERA TERMOFORMADORA TR NI 180 - MULTIPACK DIAMALER</t>
  </si>
  <si>
    <t xml:space="preserve">Costo por tons. </t>
  </si>
  <si>
    <t>Peso Prom. Caja</t>
  </si>
  <si>
    <t>ASADO 5 C</t>
  </si>
  <si>
    <t>porcentaje cobertura ( fallas, roturas) + 3 %</t>
  </si>
  <si>
    <t>PADS BLANCOS 4.5" x 7" - TITE DRI</t>
  </si>
  <si>
    <t>6138</t>
  </si>
  <si>
    <t>FAJAS UMI - 8x19.5cm - IMPRIMEX</t>
  </si>
  <si>
    <t>6288</t>
  </si>
  <si>
    <t>ETIQUETAS BOPP MET. ADC 6000 60X110 LAMINADO MATE - EL RANCHO PASSION - RR</t>
  </si>
  <si>
    <t xml:space="preserve"> 3 % cobertura </t>
  </si>
  <si>
    <t>ASADO 8 C</t>
  </si>
  <si>
    <t>Cantidad Cajas x pallets</t>
  </si>
  <si>
    <t>Envase Aguja</t>
  </si>
  <si>
    <t>Envase Vacio grueso (3x paquete)</t>
  </si>
  <si>
    <t>Envase Falda c/h Vila</t>
  </si>
  <si>
    <t>Costo $ por kls</t>
  </si>
  <si>
    <t>Envase Colita de Cuadril</t>
  </si>
  <si>
    <t>Envase Matambre</t>
  </si>
  <si>
    <t>Envase Brazuelo s/h c/conical</t>
  </si>
  <si>
    <t>Envase Entraña gruesa (GF)</t>
  </si>
  <si>
    <t>Envase Bife Angosto</t>
  </si>
  <si>
    <t>Envase Picada</t>
  </si>
  <si>
    <t>Unidades x caja.</t>
  </si>
  <si>
    <t>5 c  =    5 o 6u</t>
  </si>
  <si>
    <t>Envase Entraña gruesa INK</t>
  </si>
  <si>
    <t>8c  =  2 u</t>
  </si>
  <si>
    <t>Envasado Asado c/h 4c UMI</t>
  </si>
  <si>
    <t>Envase Asado 4/C en Tira Brasil</t>
  </si>
  <si>
    <t>Envase Asado c/h 4c UMI</t>
  </si>
  <si>
    <t>Envase Tapa de Aguja</t>
  </si>
  <si>
    <t xml:space="preserve">Envase Bife Angosto Porcionado </t>
  </si>
  <si>
    <t>Envasado Bife de Vacio</t>
  </si>
  <si>
    <t>Envasado Entraña Fina EL RANCHO</t>
  </si>
  <si>
    <t>Envasado Asado s/h 4c UMI</t>
  </si>
  <si>
    <t>Envasado Asado c/h 3c Taurus</t>
  </si>
  <si>
    <t>Envasado Asado 4c tiras Vila</t>
  </si>
  <si>
    <t>Envasado B.Angosto INK 300g</t>
  </si>
  <si>
    <t>Envasado Cuadril TG Porcionado</t>
  </si>
  <si>
    <t>Quijada Angus</t>
  </si>
  <si>
    <t>Envase Vacio Grueso (rojo) - Fralda</t>
  </si>
  <si>
    <t>Especies para Logs</t>
  </si>
  <si>
    <t>Kls.</t>
  </si>
  <si>
    <t>F06895</t>
  </si>
  <si>
    <t>Wow Meat Flavor Enhancer</t>
  </si>
  <si>
    <t>F06897</t>
  </si>
  <si>
    <t>Wow Phosphate Blend</t>
  </si>
  <si>
    <t>4784</t>
  </si>
  <si>
    <t>TAPA THE BLACK ANGUS - GRAIN FED (grano) cofre - IMPRIMEX</t>
  </si>
  <si>
    <t>Freight Ocean And Export Fees</t>
  </si>
  <si>
    <t>2021</t>
  </si>
  <si>
    <t>BOLSA VACIO 30x65 - impr. en rollo - BEMIS</t>
  </si>
  <si>
    <t>5 unid. X caja</t>
  </si>
  <si>
    <t>2119</t>
  </si>
  <si>
    <t>HOJA 70 x 70 /30ø impr. - STRONG</t>
  </si>
  <si>
    <t>6294</t>
  </si>
  <si>
    <t>BOLSA PARA VACIO 24X45 (PICANHA) IMP VILA - MERCOPACK</t>
  </si>
  <si>
    <t>14 unid. X Caja</t>
  </si>
  <si>
    <t>3382</t>
  </si>
  <si>
    <t>ET. PAI 102X78 LISA - RR</t>
  </si>
  <si>
    <t>21 unid. X caja</t>
  </si>
  <si>
    <t>7 unid. X caja</t>
  </si>
  <si>
    <t>6 unid. X caja</t>
  </si>
  <si>
    <t>6211</t>
  </si>
  <si>
    <t>ETIQUETAS BOPP MET.DOBLE CAPA 084X081 LAM. MATE VILA - ASADO 4 COSTILLAS CONGELADA - RR</t>
  </si>
  <si>
    <t>2094</t>
  </si>
  <si>
    <t>etiq. VIANDE HACHEE 22x9,7cm  IMPRIMEX</t>
  </si>
  <si>
    <t>Envase Entraña Interna Black Angus (4x paq.)</t>
  </si>
  <si>
    <t>4973</t>
  </si>
  <si>
    <t>BOLSA VACIO 31X40 impr. TAURUS GOLD - MERCOPACK</t>
  </si>
  <si>
    <t>Envase Paleta</t>
  </si>
  <si>
    <t>Envase Asado c/h 4c Vila</t>
  </si>
  <si>
    <t>Envase Picaña</t>
  </si>
  <si>
    <t>Envase Cabeza de Lomo</t>
  </si>
  <si>
    <t>Envase Nalga C/tapa</t>
  </si>
  <si>
    <t>6142</t>
  </si>
  <si>
    <t>Faja iNK - 8x19.5 - IMPRIMEX</t>
  </si>
  <si>
    <t>Envase Asado s/h 4c INK</t>
  </si>
  <si>
    <t>Envasado Bife Ancho Porcionado UMI</t>
  </si>
  <si>
    <t>Envase Asado 4/C en tiras UMI</t>
  </si>
  <si>
    <t>Envase Asado c/h 5c Manta Vila</t>
  </si>
  <si>
    <t xml:space="preserve">Envase Asado 8/C en Tira </t>
  </si>
  <si>
    <t>Envasado Bife Ancho Porcionado</t>
  </si>
  <si>
    <t>Envasado Bife de Vacio EL RANCHO</t>
  </si>
  <si>
    <t>Envasado Intercostales Largos UMI</t>
  </si>
  <si>
    <t>Envasado Asado c/h 4c Taurus</t>
  </si>
  <si>
    <t>Envasado Flap Vila - Fralda</t>
  </si>
  <si>
    <t xml:space="preserve">Envasado Aguja INK </t>
  </si>
  <si>
    <t>Envasado Lomo TG Porcionado</t>
  </si>
  <si>
    <t>Bolsa 22x55</t>
  </si>
  <si>
    <t>Envase Quijada Grain Fed</t>
  </si>
  <si>
    <t>4745</t>
  </si>
  <si>
    <t>BOLSA VACIO IMP. 31X40 (30X40) - MERCOPACK</t>
  </si>
  <si>
    <t>2012</t>
  </si>
  <si>
    <t>BOLSA VACIO 20x30 - impr. en rollo - BEMIS</t>
  </si>
  <si>
    <t>2120</t>
  </si>
  <si>
    <t>HOJA 90 x 90 (45 abierta) /30ø impr. - STRONG</t>
  </si>
  <si>
    <t>6260</t>
  </si>
  <si>
    <t>BOBINA 310x450 MM IMP VILA - MERCOPACK</t>
  </si>
  <si>
    <t>Envase Entraña Interna Angus (4x paq.)</t>
  </si>
  <si>
    <t>Envase Carnaza de Paleta</t>
  </si>
  <si>
    <t>4651</t>
  </si>
  <si>
    <t>BOLSA VACIO HP15- p/carne c/ hueso 40x80/ø120 - MERCOPACK</t>
  </si>
  <si>
    <t>Envase Lomo S/Cordon 3-4lb</t>
  </si>
  <si>
    <t>Envase Entraña Fina (2x Paq.)</t>
  </si>
  <si>
    <t>Envase Cuadrada</t>
  </si>
  <si>
    <t>Envase Falda S/h Vila</t>
  </si>
  <si>
    <t>20 unid. X caja</t>
  </si>
  <si>
    <t>6209</t>
  </si>
  <si>
    <t>ETIQUETAS BOPP MET.DOBLE CAPA 100X095 LAM. MATE VILA - ASADO 5 COSTILLAS CONGELADO - RR</t>
  </si>
  <si>
    <t>6222</t>
  </si>
  <si>
    <t>ETIQUETA BOPP MET.DOBLE CAPA 084X081 LAM.MATE VILA- BOCHECHA -RR</t>
  </si>
  <si>
    <t>6258</t>
  </si>
  <si>
    <t>MP15 BAG 200X300 MM IMP PLENO NEGRO ONTILCOR - MERCOPACK</t>
  </si>
  <si>
    <t>Envase Asado s/h 3c INK</t>
  </si>
  <si>
    <t>Envase Molleja EL ROSADO</t>
  </si>
  <si>
    <t>Envase Hueso</t>
  </si>
  <si>
    <t>Envasado Aguja (denver) UMI</t>
  </si>
  <si>
    <t>FALTA QUE INGRESEN ORDEN DE COMPRA (25x45)</t>
  </si>
  <si>
    <t>Envasado Entraña</t>
  </si>
  <si>
    <t>Envasado Vacio EL RANCHO</t>
  </si>
  <si>
    <t>Envasado Falda s/h UMI</t>
  </si>
  <si>
    <t xml:space="preserve">Envasado Entraña INK </t>
  </si>
  <si>
    <t>1 unid. X caja</t>
  </si>
  <si>
    <t>Envasado Bife Angosto TG Porcionado</t>
  </si>
  <si>
    <t>BOLSA PARA VACIO 18X67 IMP VILA - MERCOPACK</t>
  </si>
  <si>
    <t>25 unid. X caja</t>
  </si>
  <si>
    <t>Envasado Aguja Vila - Acem</t>
  </si>
  <si>
    <t>5454</t>
  </si>
  <si>
    <t>BOLSA VACIO 31x 65, impr.- MERCOPACK</t>
  </si>
  <si>
    <t>Envase Bife de Vacio (interfoleado)</t>
  </si>
  <si>
    <t>Envase Chingolo</t>
  </si>
  <si>
    <t>Envase Nalga S/T Feteada 6mm</t>
  </si>
  <si>
    <t>Envase Peceto</t>
  </si>
  <si>
    <t>Envase Intercostales Largos Vila</t>
  </si>
  <si>
    <t>5312</t>
  </si>
  <si>
    <t>BOLSA VACIO 15X40 - AMCOR -BEMIS</t>
  </si>
  <si>
    <t>Envase Lengua Vila</t>
  </si>
  <si>
    <t>Envase Colita de Cuadril EL ROSADO</t>
  </si>
  <si>
    <t>4657</t>
  </si>
  <si>
    <t>BOLSA VACIO IMPR. 40x50 - MERCOPACK</t>
  </si>
  <si>
    <t>Envasado Vacio Grueso Vila - Fralda</t>
  </si>
  <si>
    <t>BOLSA PARA VACIO 18X45 IMP VILA - MERCOPACK</t>
  </si>
  <si>
    <t>Envasado Entraña UMI</t>
  </si>
  <si>
    <t>Envase Trimming Angus 75CL</t>
  </si>
  <si>
    <t>Envasado Bife Angosto Porcionado</t>
  </si>
  <si>
    <t>Envasado Molleja EL RANCHO</t>
  </si>
  <si>
    <t>Envasado B.Ancho INK 300g</t>
  </si>
  <si>
    <t>Envase Bife de Vacio (interfoleado) GF</t>
  </si>
  <si>
    <t xml:space="preserve">Envasado Picaña Vila - Picanha </t>
  </si>
  <si>
    <t>Envase Pecho S/H</t>
  </si>
  <si>
    <t xml:space="preserve">Envase Bife de Vacio </t>
  </si>
  <si>
    <t>Envase Intercostales Cortos Vila</t>
  </si>
  <si>
    <t>12 unid. X Caja</t>
  </si>
  <si>
    <t>Envase Picanha EL ROSADO</t>
  </si>
  <si>
    <t>13 unid. X caja</t>
  </si>
  <si>
    <t>Bolsa 25 x 60 No figuran en insumos</t>
  </si>
  <si>
    <t>Envase Entraña gruesa Vila</t>
  </si>
  <si>
    <t>17 unid. X caja</t>
  </si>
  <si>
    <t>Envase Trimming Angus 85CL</t>
  </si>
  <si>
    <t>Envasado Bife Ancho 330g UMI</t>
  </si>
  <si>
    <t>Envase Molleja Vila- Timo</t>
  </si>
  <si>
    <t>Envase Nalga C/Tapa</t>
  </si>
  <si>
    <t>Envasado Vacio Flap meat</t>
  </si>
  <si>
    <t>Envasado Asado 4c EL RANCHO</t>
  </si>
  <si>
    <t xml:space="preserve">Envasado Flap INK </t>
  </si>
  <si>
    <t>Envase Asado 8/C en Tira</t>
  </si>
  <si>
    <t>Envase Corazon de Cuadril Feteado 12mm</t>
  </si>
  <si>
    <t>Envase Falda C/H</t>
  </si>
  <si>
    <t>Envase Asado c/h 3c Vila</t>
  </si>
  <si>
    <t>Envasado Marula Vila - Flat Iron Raquete</t>
  </si>
  <si>
    <t>2025</t>
  </si>
  <si>
    <t>BOLSA VACIO 45x55 - impr. en rollo - BEMIS</t>
  </si>
  <si>
    <t>Envase Lomo 2-3lb EL ROSADO</t>
  </si>
  <si>
    <t>Envase Quijada Vila</t>
  </si>
  <si>
    <t>Envase Trimming Angus 90CL</t>
  </si>
  <si>
    <t>Envase Nalga S/Tapa</t>
  </si>
  <si>
    <t>Envase Corazón de Cuadril</t>
  </si>
  <si>
    <t>Envase Lomo S/Cordon 2-3lb</t>
  </si>
  <si>
    <t>Envase Hueso de Rodilla (chiquizuela)</t>
  </si>
  <si>
    <t>Envasado Marucha UMI</t>
  </si>
  <si>
    <t>Envasado Aguja (Acem) Vila</t>
  </si>
  <si>
    <t>Envase Trozos de asado Vila</t>
  </si>
  <si>
    <t>Envasado Asado 4c manta UMI</t>
  </si>
  <si>
    <t>Envasado Asado 5c Tiras EL RANCHO</t>
  </si>
  <si>
    <t xml:space="preserve">Envasado Marucha INK </t>
  </si>
  <si>
    <t>Envasado File de costela fatiado</t>
  </si>
  <si>
    <t>5399</t>
  </si>
  <si>
    <t>BOLSA VACIO 15X60 - BEMIS-AMCOR</t>
  </si>
  <si>
    <t>3283</t>
  </si>
  <si>
    <t>bolsa 40x70/ø40 - impresa- DISPLAST</t>
  </si>
  <si>
    <t>Envase Lomo S/Cordon 4-5lb</t>
  </si>
  <si>
    <t>Envase Vacio Grueso</t>
  </si>
  <si>
    <t>Envase Trimming 70VL</t>
  </si>
  <si>
    <t>Envase Pecho C/H Vila</t>
  </si>
  <si>
    <t>Envasado Bife Angosto 330g UMI</t>
  </si>
  <si>
    <t>Envasado Asado 7c Tiras EL RANCHO</t>
  </si>
  <si>
    <t>Envasado Marucha Vila</t>
  </si>
  <si>
    <t>Envasado Contra file fatiado</t>
  </si>
  <si>
    <t>3282</t>
  </si>
  <si>
    <t>Etiqueta UMI 102X78 - IMPRIMEX</t>
  </si>
  <si>
    <t>Envase Bife de Vacio</t>
  </si>
  <si>
    <t>11 unid. X caja</t>
  </si>
  <si>
    <t>14 unid. X caja</t>
  </si>
  <si>
    <t>Envasado Carne Picada UMI</t>
  </si>
  <si>
    <t>Envase Bola de Lomo</t>
  </si>
  <si>
    <t>4969</t>
  </si>
  <si>
    <t>BOLSA VACIO HP15 - 31x50 - MERCOPACK</t>
  </si>
  <si>
    <t>Envase BIFE ANCHO 5/c 1x1</t>
  </si>
  <si>
    <t xml:space="preserve">Envase Picaña </t>
  </si>
  <si>
    <t>Envase Manta 90CL</t>
  </si>
  <si>
    <t>Envase Brazuelo Garron vila</t>
  </si>
  <si>
    <t>18 unid. X caja</t>
  </si>
  <si>
    <t>Envasado Bife Ancho 500g UMI</t>
  </si>
  <si>
    <t>Envasado Picanha EL RANCHO</t>
  </si>
  <si>
    <t>Envase Asado 4/C Brasil</t>
  </si>
  <si>
    <t>4578</t>
  </si>
  <si>
    <t>et. OPP UMI - circular - 30x30 mm - RR</t>
  </si>
  <si>
    <t>Envasado Vacio Grueso Vila +2 - Fralda</t>
  </si>
  <si>
    <t>Envase ASADO (AL VACÍO) 8/c</t>
  </si>
  <si>
    <t>Envase Corazon de Cuadril</t>
  </si>
  <si>
    <t>Envase Ligamento Cervical</t>
  </si>
  <si>
    <t>Envasado Bife Angosto Porcionado UMI</t>
  </si>
  <si>
    <t>Envase Asado S/h Vila</t>
  </si>
  <si>
    <t>Envasado Colita de Cuadril UMI</t>
  </si>
  <si>
    <t>Envasado Matambre EL RANCHO</t>
  </si>
  <si>
    <t>Envasado Colita de cuadril Vila</t>
  </si>
  <si>
    <t>Envase Osobuco</t>
  </si>
  <si>
    <t>Envase VACIO GRUESO - BEEF FLANK</t>
  </si>
  <si>
    <t>Envase Carnaza de Paleta S/H a la Tela</t>
  </si>
  <si>
    <t>Envase Arañita</t>
  </si>
  <si>
    <t>Envase Falda s/h Taurus</t>
  </si>
  <si>
    <t>Envasado Bife Ancho UMI</t>
  </si>
  <si>
    <t>Envasado Arañita EL RANCHO</t>
  </si>
  <si>
    <t>Envase Pasta</t>
  </si>
  <si>
    <t>Envase TOMAHAWK - BIFE ANCHO C/H ENTERO</t>
  </si>
  <si>
    <t>Envase Bife Angosto C/C 4kg up.</t>
  </si>
  <si>
    <t>Envase Chingolo a la Tela x2</t>
  </si>
  <si>
    <t>Envase Entraña fina</t>
  </si>
  <si>
    <t>2019</t>
  </si>
  <si>
    <t>BOLSA VACIO 25x80 - impr. en rollo - BEMIS</t>
  </si>
  <si>
    <t>6293</t>
  </si>
  <si>
    <t>BOLSA PARA VACIO 20X50 IMP VILA - MERCOPACK</t>
  </si>
  <si>
    <t>Envase Carne Picada Especial</t>
  </si>
  <si>
    <t>Envasado Chuck EL RANCHO</t>
  </si>
  <si>
    <t>Envase FLAP MEAT - VACIO GRUESO</t>
  </si>
  <si>
    <t>Envase T.Bone (Espinazo C/Lomo)</t>
  </si>
  <si>
    <t>Envase Entraña Americana</t>
  </si>
  <si>
    <t>NO FIGURAN EN STOCK (18 x 30 - 100 MICRONES)</t>
  </si>
  <si>
    <t>22 unid. X caja</t>
  </si>
  <si>
    <t>Envase Trimming picada</t>
  </si>
  <si>
    <t>Envase ASADO GF (AL VACÍO) 9/c</t>
  </si>
  <si>
    <t>Envase Bife Ancho 1,5 - 2 kg</t>
  </si>
  <si>
    <t>Envase Huesos de Aguja</t>
  </si>
  <si>
    <t>Envasado Riñon EL RANCHO</t>
  </si>
  <si>
    <t>Envase Asado Tiras Personal</t>
  </si>
  <si>
    <t>Envase Lomo</t>
  </si>
  <si>
    <t>Envase ASADO TIRA 9/C (Vacum pack)</t>
  </si>
  <si>
    <t>Envase Master S/Tapa - Bife Ancho</t>
  </si>
  <si>
    <t>Envase Grasa 10VL</t>
  </si>
  <si>
    <t>Envasado Chinchulin EL RANCHO</t>
  </si>
  <si>
    <t>Envase Asado 10/C Manta Grano</t>
  </si>
  <si>
    <t>Envase Vacio grueso (flap)</t>
  </si>
  <si>
    <t>Envase Bife Ancho 5/C 2 kg up.</t>
  </si>
  <si>
    <t>Envase Manta AFH 90 Angus</t>
  </si>
  <si>
    <t>Envasado Picada EL RANCHO</t>
  </si>
  <si>
    <t>Envase Asado 10/C Manta Pasto</t>
  </si>
  <si>
    <t>5450</t>
  </si>
  <si>
    <t>BOLSA VACIO IMP. 22X55 - MERCOPACK</t>
  </si>
  <si>
    <t>Envase Espinazo S/Lomo 4/C</t>
  </si>
  <si>
    <t>Envase Intercostales x1kg</t>
  </si>
  <si>
    <t>Envase Lomito de Paleta</t>
  </si>
  <si>
    <t>Envase Hamburguesas Personal</t>
  </si>
  <si>
    <t>Ver</t>
  </si>
  <si>
    <t>6291</t>
  </si>
  <si>
    <t>ETIQUETA BOPP MET.DOBLE CAPA 084X081 LAM.MATE VILA - LOMITO DE PALETA - RR</t>
  </si>
  <si>
    <t>Envase Bife Ancho 1,5kg</t>
  </si>
  <si>
    <t>Envase Aguja al vacio</t>
  </si>
  <si>
    <t>Envase Hamburguesas Personal Soja</t>
  </si>
  <si>
    <t>Envase Flap - Vacio 1/2</t>
  </si>
  <si>
    <t>Envase Marucha (rectangular)</t>
  </si>
  <si>
    <t>6208</t>
  </si>
  <si>
    <t>ETIQUETAS BOPP MET.DOBLE CAPA 084X081 LAM. MATE VILA - FLAP MEAT - RR</t>
  </si>
  <si>
    <t>Envase Molleja</t>
  </si>
  <si>
    <t>Envase Corazon de Cuadril Feteado 6mm</t>
  </si>
  <si>
    <t>Envase Asado C/H Trasero</t>
  </si>
  <si>
    <t>Envase Chinchulines</t>
  </si>
  <si>
    <t>Envase Lomo S/Cordon 3-4 lb</t>
  </si>
  <si>
    <t>Envase Trimming 55VL</t>
  </si>
  <si>
    <t>2048</t>
  </si>
  <si>
    <t>FONDO COFRE ENFRIADO  (boix) - Mercopack</t>
  </si>
  <si>
    <t xml:space="preserve">Envase Bife Angosto 4kg </t>
  </si>
  <si>
    <t>Envase Pecho C/H</t>
  </si>
  <si>
    <t>Envase Riñon</t>
  </si>
  <si>
    <t>6233</t>
  </si>
  <si>
    <t>ETIQUETA BOPP MET.DOBLE CAPA 084X081 LAM.MATE VILA - RIÑON VACUNO</t>
  </si>
  <si>
    <t>Envase Cuadrada a la Tela</t>
  </si>
  <si>
    <t>Envase Asado 1/C</t>
  </si>
  <si>
    <t>Envase Bife de Vacio (2x Paq.)</t>
  </si>
  <si>
    <t>Envase Huesos de Espinazo</t>
  </si>
  <si>
    <t>Envase Asado 3/C</t>
  </si>
  <si>
    <t>6243</t>
  </si>
  <si>
    <t>ETIQUETAS BOPP MET.DOBLE CAPA 084X081 LAM. MATE VILA - ASADO 3 COSTILLAS CONGELADA - RR</t>
  </si>
  <si>
    <t xml:space="preserve">Envase Tomahawk - Bife Ancho C/H </t>
  </si>
  <si>
    <t>Envase Asado C/H 3c</t>
  </si>
  <si>
    <t>Envase Asado 5/C</t>
  </si>
  <si>
    <t>VER</t>
  </si>
  <si>
    <t xml:space="preserve">Envase Molleja </t>
  </si>
  <si>
    <t>Envase Trimming 65VL</t>
  </si>
  <si>
    <t>Envase Asado 4/C</t>
  </si>
  <si>
    <t>Envase Bife Angosto 4kg (Bife de Chorizo)</t>
  </si>
  <si>
    <t>Envase Tortuguita c/bananita</t>
  </si>
  <si>
    <t>Envase Picaña Feteada</t>
  </si>
  <si>
    <t>Envase Flap meat - Vacio Grueso</t>
  </si>
  <si>
    <t>Envase Garron</t>
  </si>
  <si>
    <t>6195</t>
  </si>
  <si>
    <t>FAJAS VARIAS CARTULINA 8 X 19,5 - IMPRIMEX</t>
  </si>
  <si>
    <t>Envase Peceto feteado 6mm</t>
  </si>
  <si>
    <t>Envase Huesos de Lumbar</t>
  </si>
  <si>
    <t>6239</t>
  </si>
  <si>
    <t>ETIQUETAS BOPP MET. DOBLE CAPA 084X081 LAMINADO VILA - OSOBUCO - RR</t>
  </si>
  <si>
    <t>Envase Trimming 85VL</t>
  </si>
  <si>
    <t>6212</t>
  </si>
  <si>
    <t>ETIQUETAS BOPP MET.DOBLE CAPA 084X081 LAM. MATE VILA - CARNE PICADA CONGELADA - RR</t>
  </si>
  <si>
    <t>Envase Asado C/H 5c</t>
  </si>
  <si>
    <t>Envase Asado 2 y medio</t>
  </si>
  <si>
    <t>1 2 unid. X caja</t>
  </si>
  <si>
    <t>Envase Trimming 75VL</t>
  </si>
  <si>
    <t>Envase Mondongo</t>
  </si>
  <si>
    <t>6240</t>
  </si>
  <si>
    <t>ETIQUETAS BOPP MET. DOBLE CAPA 084X081 LAMINADO VILA - MONDONGO - RR</t>
  </si>
  <si>
    <t>Envase Manta AFH 90 VL</t>
  </si>
  <si>
    <t>Envase Tomahawk</t>
  </si>
  <si>
    <t>Envase Membrana Flank</t>
  </si>
  <si>
    <t>6235</t>
  </si>
  <si>
    <t>ETIQUETA BOPP MET.DOBLE CAPA 084X081 LAM.MATE VILA - TOMAHAWK - RR</t>
  </si>
  <si>
    <t>Envase Hueso de cogote</t>
  </si>
  <si>
    <t>Envase Tendinosa</t>
  </si>
  <si>
    <t>Envase Trimming 80VL</t>
  </si>
  <si>
    <t>Envase Trimming 90VL</t>
  </si>
  <si>
    <t>Envase Asado C/H 8c</t>
  </si>
  <si>
    <t>PANDO SETIEMBRE  2026 NEGOCIOS ELABORADOS RESULTADO POR PRODUCCIÓN ESTIMADO</t>
  </si>
  <si>
    <t>Tons. Producidas</t>
  </si>
  <si>
    <t>Logs</t>
  </si>
  <si>
    <t>Porc/Asados</t>
  </si>
  <si>
    <t>Conceptos</t>
  </si>
  <si>
    <t>Producción a Precio de Venta</t>
  </si>
  <si>
    <t xml:space="preserve">Reintegros </t>
  </si>
  <si>
    <t>Deducciones de vtas</t>
  </si>
  <si>
    <t>Ventas Netas</t>
  </si>
  <si>
    <t xml:space="preserve">Costos de Elaboración </t>
  </si>
  <si>
    <t>Mat. Primas</t>
  </si>
  <si>
    <t>Insumos (especias)</t>
  </si>
  <si>
    <t>Margen Contrib. Bruto</t>
  </si>
  <si>
    <t>Gtos Vbles Vtas</t>
  </si>
  <si>
    <t>Margen Contrib. Neto</t>
  </si>
  <si>
    <t>En el caso de los Porcionados y los Asados los agrupamos porque a nivel de producción es dificil de separar</t>
  </si>
  <si>
    <t>todo lo que se genera (trimmings, grasas, huesos) del producto final ya que se hace todo en el mismo sector</t>
  </si>
  <si>
    <t xml:space="preserve">en el Caso de los Asados de grano que entran como mat. Prima estamos considerando el precio de este </t>
  </si>
  <si>
    <t>el equivalente al 95 % del Costo de hacienda de los animales de Grano faenados en el periódo.</t>
  </si>
  <si>
    <t>Porcionados</t>
  </si>
  <si>
    <t>U$S/Tons.</t>
  </si>
  <si>
    <t>Inventario valorizado 01/04/26 al 30/04/26</t>
  </si>
  <si>
    <t>Unidad organizacional</t>
  </si>
  <si>
    <t>1 - FRIGORÍFICO MATADERO PANDO</t>
  </si>
  <si>
    <t>Período</t>
  </si>
  <si>
    <t>01/04/26 al 30/04/26</t>
  </si>
  <si>
    <t>Criterio de valorización</t>
  </si>
  <si>
    <t>FIFO</t>
  </si>
  <si>
    <t>Agrupar por moneda</t>
  </si>
  <si>
    <t xml:space="preserve">Código </t>
  </si>
  <si>
    <t>Unidad</t>
  </si>
  <si>
    <t>Moneda</t>
  </si>
  <si>
    <t>Valor</t>
  </si>
  <si>
    <t>5661</t>
  </si>
  <si>
    <t>TAPA iNK CONGELADO (136) - IMPRIMEX</t>
  </si>
  <si>
    <t>UNID</t>
  </si>
  <si>
    <t>USD</t>
  </si>
  <si>
    <t>3862</t>
  </si>
  <si>
    <t>ACIDO LACTICO - PURAC 85 - ABASTECIMIENTOS</t>
  </si>
  <si>
    <t>KG</t>
  </si>
  <si>
    <t>3740</t>
  </si>
  <si>
    <t>ADHESIVO HENKEL TECHNOMELT - IMPRIMEX</t>
  </si>
  <si>
    <t>2069</t>
  </si>
  <si>
    <t>ADHESIVO HOT MELT  - Mpack</t>
  </si>
  <si>
    <t>1651</t>
  </si>
  <si>
    <t>AGUA OXIGENADA 220 VOL. - NORTE SUR</t>
  </si>
  <si>
    <t>LIT</t>
  </si>
  <si>
    <t>2188</t>
  </si>
  <si>
    <t>ALCOHOL EN GEL - GEL SANIT - LINOVELL</t>
  </si>
  <si>
    <t>UYU</t>
  </si>
  <si>
    <t>2192</t>
  </si>
  <si>
    <t>ANTICORROSIVO - A 11 - CALDERA - SERTIN</t>
  </si>
  <si>
    <t>2189</t>
  </si>
  <si>
    <t>ANTICORROSIVO - A 48 - SALA DE MAQUINAS - SERTIN</t>
  </si>
  <si>
    <t>4786</t>
  </si>
  <si>
    <t>ANTIESPUMANTE AFE 1520 (grasería) - WILLIAMS</t>
  </si>
  <si>
    <t>2191</t>
  </si>
  <si>
    <t>ANTIINCRUSTANTE - A 18 - CALDERA - SERTIN</t>
  </si>
  <si>
    <t>2190</t>
  </si>
  <si>
    <t>BACTERICIDA - A 42 - SALA DE MAQUINAS - SERTIN</t>
  </si>
  <si>
    <t>2195</t>
  </si>
  <si>
    <t>BACTERICIDA GERM OFF - SEBAMEL</t>
  </si>
  <si>
    <t>6238</t>
  </si>
  <si>
    <t>BOBINA 220X800MM IMP VILA ONTILCOR - MERCOPACK</t>
  </si>
  <si>
    <t>6309</t>
  </si>
  <si>
    <t>BOBINA FLOWPACK 720 MM (BZN19S) - MERCOPACK</t>
  </si>
  <si>
    <t>BOB</t>
  </si>
  <si>
    <t>2112</t>
  </si>
  <si>
    <t>BOLSA  40 x 70 /ø40 impr. -  STRONG</t>
  </si>
  <si>
    <t>6099</t>
  </si>
  <si>
    <t>BOLSA 100X130/ø80 - harina de sangre - DISPLAST</t>
  </si>
  <si>
    <t>2114</t>
  </si>
  <si>
    <t>BOLSA 20 x 30 /ø30 AD - STRONG</t>
  </si>
  <si>
    <t>2113</t>
  </si>
  <si>
    <t>BOLSA 35 x 50 /ø30 impr. AD - STRONG</t>
  </si>
  <si>
    <t>6227</t>
  </si>
  <si>
    <t>BOLSA 400 X 700 LISO</t>
  </si>
  <si>
    <t>2103</t>
  </si>
  <si>
    <t>BOLSA 70 x 90 /ø80 lisa - STRONG</t>
  </si>
  <si>
    <t>3581</t>
  </si>
  <si>
    <t>BOLSA 95(60)X60/ø40, impr. en rollo - (136) - DISPLAST</t>
  </si>
  <si>
    <t>4542</t>
  </si>
  <si>
    <t>BOLSA 95(60)X60/ø40, impr. en rollo - (136) - STRONG</t>
  </si>
  <si>
    <t>3829</t>
  </si>
  <si>
    <t>BOLSA AD 20x30/30ø - DISPLAST</t>
  </si>
  <si>
    <t>3625</t>
  </si>
  <si>
    <t>bolsa AD 35x50/ø20 (lavadero) - STRONG</t>
  </si>
  <si>
    <t>6143</t>
  </si>
  <si>
    <t>BOLSA AD impresa, 20X50/ø30 (lenguas) - DISPLAST</t>
  </si>
  <si>
    <t>3458</t>
  </si>
  <si>
    <t>bolsa blanca 28x40/ø40 - DISPLAST</t>
  </si>
  <si>
    <t>3537</t>
  </si>
  <si>
    <t>BOLSA CELESTE  100(80)x120/ø60 - DISPLAST</t>
  </si>
  <si>
    <t>6205</t>
  </si>
  <si>
    <t>BOLSA CELESTE 100X120/ø60 - GREENLAB</t>
  </si>
  <si>
    <t>3580</t>
  </si>
  <si>
    <t>BOLSA COFRE 85(60)X46/ø40, impr. en rollo - DISPLAST</t>
  </si>
  <si>
    <t>4541</t>
  </si>
  <si>
    <t>BOLSA COFRE 85(60)X46/ø40, impr. en rollo - STRONG</t>
  </si>
  <si>
    <t>4540</t>
  </si>
  <si>
    <t>BOLSA EN ROLLO 80x90/ø40 nat. lisa - STRONG</t>
  </si>
  <si>
    <t>3535</t>
  </si>
  <si>
    <t>BOLSA MARRON 80X90/ø40 - DISPLAST</t>
  </si>
  <si>
    <t>3536</t>
  </si>
  <si>
    <t>BOLSA NARANJA 80X90/ø80 - DISPLAST</t>
  </si>
  <si>
    <t>6281</t>
  </si>
  <si>
    <t>BOLSA NARANJA 85(60)X46/40 - DISPLAST</t>
  </si>
  <si>
    <t>5383</t>
  </si>
  <si>
    <t>BOLSA P/HUESO AZUL (BINS), 225(120)x250/ø60 - STRONG</t>
  </si>
  <si>
    <t>6203</t>
  </si>
  <si>
    <t>BOLSA PARA RESIDUO NEGRAS 50X55- GREENLAB</t>
  </si>
  <si>
    <t>6292</t>
  </si>
  <si>
    <t>6295</t>
  </si>
  <si>
    <t>BOLSA PARA VACIO UMI 28X65 - MERCOPACK</t>
  </si>
  <si>
    <t>4394</t>
  </si>
  <si>
    <t>BOLSA PLASTILLERA BCA., 70x120 - ULIREN</t>
  </si>
  <si>
    <t>3827</t>
  </si>
  <si>
    <t>BOLSA ROLLO AZUL impr. 80x(60)75/80  - DISPLAST</t>
  </si>
  <si>
    <t>6231</t>
  </si>
  <si>
    <t>BOLSA ROLLO IMPRESA 35X80/40-STRONG</t>
  </si>
  <si>
    <t>4032</t>
  </si>
  <si>
    <t>BOLSA UMI - 28X75/ø45 - FLEXOPACK</t>
  </si>
  <si>
    <t>EUR</t>
  </si>
  <si>
    <t>4970</t>
  </si>
  <si>
    <t>BOLSA VACIO 18X70 impr. TAURUS GOLD  - MERCOPACK</t>
  </si>
  <si>
    <t>5433</t>
  </si>
  <si>
    <t>BOLSA VACIO 22 x 55 TAURUS GOLD - MERCOPACK</t>
  </si>
  <si>
    <t>6078</t>
  </si>
  <si>
    <t>BOLSA VACIO 22X56 BLOCK HOUSE- MERCOPACK</t>
  </si>
  <si>
    <t>6079</t>
  </si>
  <si>
    <t>BOLSA VACIO 22X76 BLOCK HOUSE-MERCOPACK</t>
  </si>
  <si>
    <t>4976</t>
  </si>
  <si>
    <t>BOLSA VACIO 24X45, SOLDA V (picaña)  impr. TAURUS GOLD - MERCOPACK</t>
  </si>
  <si>
    <t>2020</t>
  </si>
  <si>
    <t>BOLSA VACIO 30x45 - impr. en rollo - BEMIS</t>
  </si>
  <si>
    <t>6080</t>
  </si>
  <si>
    <t>BOLSA VACIO 31X40 BLOCK HOUSE-MERCOPACK</t>
  </si>
  <si>
    <t>5604</t>
  </si>
  <si>
    <t>BOLSA VACIO 31X50 TAURUS GOLD - MERCO PACK</t>
  </si>
  <si>
    <t>4974</t>
  </si>
  <si>
    <t>BOLSA VACIO 34X70 impr. TAURUS GOLD - MERCOPACK</t>
  </si>
  <si>
    <t>2023</t>
  </si>
  <si>
    <t>BOLSA VACIO 40x50 - impr. en rollo - BEMIS</t>
  </si>
  <si>
    <t>4975</t>
  </si>
  <si>
    <t>BOLSA VACIO 40X50 impr. TAURUS GOLD - MERCOPACK</t>
  </si>
  <si>
    <t>5410</t>
  </si>
  <si>
    <t>BOLSA VACIO HP15 31X40 IMP. - MERCOPACK</t>
  </si>
  <si>
    <t>4652</t>
  </si>
  <si>
    <t>BOLSA VACIO HP15-p/carne c/ hueso 43x70/ø120, impr. - MERCOPACK</t>
  </si>
  <si>
    <t>4673</t>
  </si>
  <si>
    <t>BOLSA VACIO IMP. 24X40 - MERCOPACK</t>
  </si>
  <si>
    <t>4744</t>
  </si>
  <si>
    <t>BOLSA VACIO IMP. 46x70 - MERCOPACK</t>
  </si>
  <si>
    <t>4661</t>
  </si>
  <si>
    <t>BOLSA VACIO IMPR. 20x40 - MERCOPACK</t>
  </si>
  <si>
    <t>6193</t>
  </si>
  <si>
    <t>BOLSA VACIO MP15 20X65 NEGRO - MERCOPACK</t>
  </si>
  <si>
    <t>6081</t>
  </si>
  <si>
    <t>BOLSA VACIO SOLDA V 18X67 BLOCK HOUSE-MERCOPACK</t>
  </si>
  <si>
    <t>6261</t>
  </si>
  <si>
    <t>CAJA BINS OCTOGONAL PANDO (896214) - MERCOPACK</t>
  </si>
  <si>
    <t>6146</t>
  </si>
  <si>
    <t>CAJA LENGUAS - 585x386x112 - (811809) - MERCOPACK</t>
  </si>
  <si>
    <t>5328</t>
  </si>
  <si>
    <t>CERCO EXTERIOR OCTOBIN JUMBO BOX - PAMER</t>
  </si>
  <si>
    <t>5327</t>
  </si>
  <si>
    <t>CERCO INTERIOR OCTOBIN JUMBO BOX - PAMER</t>
  </si>
  <si>
    <t>3817</t>
  </si>
  <si>
    <t>CINTA ADHESIVA x 1000 m - DEMATTE</t>
  </si>
  <si>
    <t>4797</t>
  </si>
  <si>
    <t>CUBREROPAS (BOLSA BLANCA DELANTAL) - 100X150/50 - DISPLAST</t>
  </si>
  <si>
    <t>4047</t>
  </si>
  <si>
    <t>DESENGRASANTE "SLICE R" - (roldanas) - LINOVELL</t>
  </si>
  <si>
    <t>2201</t>
  </si>
  <si>
    <t>DESENGRASANTE PARA INOX  STEAM - LINOVELL</t>
  </si>
  <si>
    <t>2202</t>
  </si>
  <si>
    <t>DESENGRASANTE SLICE - LINOVELL</t>
  </si>
  <si>
    <t>2200</t>
  </si>
  <si>
    <t>DESINFECTANTE SPEC - LINOVELL</t>
  </si>
  <si>
    <t>2198</t>
  </si>
  <si>
    <t>DESOXIDANTE RUST OFF - LINOVELL</t>
  </si>
  <si>
    <t>2208</t>
  </si>
  <si>
    <t>DETER - LEADER TWL20 - LANYVEL</t>
  </si>
  <si>
    <t>3934</t>
  </si>
  <si>
    <t>DETER TECNOSMART SHINE al 30% - LANYVEL</t>
  </si>
  <si>
    <t>6201</t>
  </si>
  <si>
    <t>ECOBLOCK NEGRO 405X200 SELLANTE -MERCOPACK</t>
  </si>
  <si>
    <t>5202</t>
  </si>
  <si>
    <t>et.  OPP Metalizado 100x50 dorso Vila - RR</t>
  </si>
  <si>
    <t>4102</t>
  </si>
  <si>
    <t>et. 100X100 lisa, PP GLOSS, perlado - RR</t>
  </si>
  <si>
    <t>3843</t>
  </si>
  <si>
    <t>et. adhes. BLOCK HOUSE, 045x175, ROASTBEEF STUECK ZENTRUM (naranja)- RR</t>
  </si>
  <si>
    <t>2949</t>
  </si>
  <si>
    <t>et. BLOCK HOUSE - ENTRECOTE (gris) - RR</t>
  </si>
  <si>
    <t>2950</t>
  </si>
  <si>
    <t>et. BLOCK HOUSE - FILET 4/5 lbs (terracota) RR</t>
  </si>
  <si>
    <t>3888</t>
  </si>
  <si>
    <t>ET. BOPP TERM 100x200 LISAS (500xrll) - RR</t>
  </si>
  <si>
    <t>3636</t>
  </si>
  <si>
    <t>et. BOPP TERMICO 100x154 lisa (4x6) - RR</t>
  </si>
  <si>
    <t>6180</t>
  </si>
  <si>
    <t>et. BOPP térmico 50x40 blanca - RR</t>
  </si>
  <si>
    <t>6192</t>
  </si>
  <si>
    <t>ET. CHARRUA HEREFORD - 10 X 12,6 cm - IMPRIMEX</t>
  </si>
  <si>
    <t>2171</t>
  </si>
  <si>
    <t>ET. DENTICION (nueva)(format II) 65x70 (2200xrll) - RR</t>
  </si>
  <si>
    <t>6100</t>
  </si>
  <si>
    <t>et. externa - VILA URUGUAY - 60x60mm, BOPP METALIZADO - IMPRIMEX</t>
  </si>
  <si>
    <t>6279</t>
  </si>
  <si>
    <t>et. externa - VILA URUGUAY - 60x60mm, BOPP METALIZADO - RR</t>
  </si>
  <si>
    <t>5421</t>
  </si>
  <si>
    <t>et. FAJA VILA PLATA - MAMINHA DA ALCATRA - 100mmx320mm - RR</t>
  </si>
  <si>
    <t>6181</t>
  </si>
  <si>
    <t>et. Fajas VILA Premium Beef v9 - IMPRIMEX</t>
  </si>
  <si>
    <t>3850</t>
  </si>
  <si>
    <t>ET. FRONTAL TERMOLABEL 100mmx100m, lisas, x rollo- carnicería - RR</t>
  </si>
  <si>
    <t>ROL</t>
  </si>
  <si>
    <t>3964</t>
  </si>
  <si>
    <t>ET. GRAIN FED - BOPP METAL.50x50 (circular) - RR</t>
  </si>
  <si>
    <t>6177</t>
  </si>
  <si>
    <t>et. OPP TERMICO 100X119 - RR</t>
  </si>
  <si>
    <t>4046</t>
  </si>
  <si>
    <t>Et. PAI 100 x 100 lisa - RR</t>
  </si>
  <si>
    <t>5606</t>
  </si>
  <si>
    <t>et. SWIFT - BIFE ANCHO Uruguaio, polipr. PERLADO, 6x6cm - RR</t>
  </si>
  <si>
    <t>5605</t>
  </si>
  <si>
    <t>et. SWIFT - BIFE DE CHORIZO, polipr. PERLADO, 6x6cm - RR</t>
  </si>
  <si>
    <t>4854</t>
  </si>
  <si>
    <t>et. THE BLACK GRAIN, PAI - 80x130 mm - IMPRIMEX</t>
  </si>
  <si>
    <t>6029</t>
  </si>
  <si>
    <t>et. VILA (varios cortes) BOPP METALIZADO - 80x84mm - RR</t>
  </si>
  <si>
    <t>4883</t>
  </si>
  <si>
    <t>et. VILA PLATA -100x50mm, OPP Metal - RR</t>
  </si>
  <si>
    <t>2172</t>
  </si>
  <si>
    <t>ET.CARCASS TAG FORMAT l  (lazo) 45x240 (634et.xrll) - RR</t>
  </si>
  <si>
    <t>2882</t>
  </si>
  <si>
    <t>etiqu. adhes. BLOCK HOUSE ROASTBEEF 4.0/5.5 k - (amarillo) - RR</t>
  </si>
  <si>
    <t>2957</t>
  </si>
  <si>
    <t>etiqueta  BLOCK HOUSE 1968-65X95 - RR</t>
  </si>
  <si>
    <t>6278</t>
  </si>
  <si>
    <t>ETIQUETA 100X119 BLACK ANGUS - IMPRIMEX</t>
  </si>
  <si>
    <t>6284</t>
  </si>
  <si>
    <t>ETIQUETA ADHESIVA BLOCK HOUSE 45 X 175 AMARILLO BIFE ANGOSTO - RR</t>
  </si>
  <si>
    <t>6282</t>
  </si>
  <si>
    <t>ETIQUETA ADHESIVA BLOCK HOUSE 45 X 175 AZUL. FILET 3/4 LBS LOMO 3/4 LIBRAS S/H S/C TENDERLOIN - RR</t>
  </si>
  <si>
    <t>6283</t>
  </si>
  <si>
    <t>ETIQUETA ADHESIVA BLOCK HOUSE 80 X 50 VERDE - RR</t>
  </si>
  <si>
    <t>2173</t>
  </si>
  <si>
    <t>ETIQUETA BOPP MATE 050x150 - FAJA NUMERADA - RR</t>
  </si>
  <si>
    <t>6269</t>
  </si>
  <si>
    <t>ETIQUETA BOPP MET. DOBLE CAPA 084X081 VILA - CHUCK - RR</t>
  </si>
  <si>
    <t>6270</t>
  </si>
  <si>
    <t>ETIQUETA BOPP MET. DOBLE CAPA 084X081 VILA - DENVER STEAK - RR</t>
  </si>
  <si>
    <t>6232</t>
  </si>
  <si>
    <t>ETIQUETA BOPP MET.DOBLE CAPA 084X081 LAM.MATE VILA - ARAÑITA - RR</t>
  </si>
  <si>
    <t>6252</t>
  </si>
  <si>
    <t>ETIQUETA BOPP MET.DOBLE CAPA 084X081 LAM.MATE VILA - BIFE ANCHO - RR</t>
  </si>
  <si>
    <t>6290</t>
  </si>
  <si>
    <t>ETIQUETA BOPP MET.DOBLE CAPA 084X081 LAM.MATE VILA - CHUCK RIB - RR</t>
  </si>
  <si>
    <t>6234</t>
  </si>
  <si>
    <t>ETIQUETA BOPP MET.DOBLE CAPA 084X081 LAM.MATE VILA - ENTRAÑA AMERICANA - RR</t>
  </si>
  <si>
    <t>6236</t>
  </si>
  <si>
    <t>ETIQUETA BOPP MET.DOBLE CAPA 084X081 LAM.MATE VILA - MATAMBRE - RR</t>
  </si>
  <si>
    <t>6285</t>
  </si>
  <si>
    <t>ETIQUETA BOPP MET.DOBLE CAPA 084X081 LAM.MATE VILA - SHORT RIBS - RR</t>
  </si>
  <si>
    <t>6276</t>
  </si>
  <si>
    <t>ETIQUETA BOPP MET.DOBLE CAPA 084X081 LAM.MATE VILA- ANGOSTO -RR</t>
  </si>
  <si>
    <t>6273</t>
  </si>
  <si>
    <t>ETIQUETA BOPP MET.DOBLE CAPA 084X081 LAM.MATE VILA- CHINCHULINES -RR</t>
  </si>
  <si>
    <t>6275</t>
  </si>
  <si>
    <t>ETIQUETA BOPP MET.DOBLE CAPA 084X081 LAM.MATE VILA- LOMO -RR</t>
  </si>
  <si>
    <t>6274</t>
  </si>
  <si>
    <t>ETIQUETA BOPP MET.DOBLE CAPA 084X081 LAM.MATE VILA- PECETO -RR</t>
  </si>
  <si>
    <t>6215</t>
  </si>
  <si>
    <t>ETIQUETA BOPP MET.DOBLE CAPA 084X081 LAM.MATE VILA-MOLLEJA-RR</t>
  </si>
  <si>
    <t>6214</t>
  </si>
  <si>
    <t>ETIQUETA BOPP MET.DOBLE CAPA 084X081 LAM.MATE VILA-PICAÑA-RR</t>
  </si>
  <si>
    <t>6237</t>
  </si>
  <si>
    <t>ETIQUETA CHARRUA ANGUS 12,7X10-IMPRIMEX</t>
  </si>
  <si>
    <t>6266</t>
  </si>
  <si>
    <t>ETIQUETA DOM FIUZA GRASS FED CIRCULAR VERDE - IMPRIMEX</t>
  </si>
  <si>
    <t>6244</t>
  </si>
  <si>
    <t>ETIQUETA EXTERNAS DOM FIUZA BLACK ANGUS GRASS FEED - IMPRIMEX</t>
  </si>
  <si>
    <t>6263</t>
  </si>
  <si>
    <t>ETIQUETA FRONTAL BOPP TERMICO 100X119 IMP. 6T CHARRUA ANGUS - RR</t>
  </si>
  <si>
    <t>2135</t>
  </si>
  <si>
    <t>ETIQUETA FRONTAL BOPP TERMICO 100x119 lisas blancas - RR</t>
  </si>
  <si>
    <t>2150</t>
  </si>
  <si>
    <t>ETIQUETA OPP 102x102 temperature sensitive, 4 tintas (aéreos) - RR</t>
  </si>
  <si>
    <t>6277</t>
  </si>
  <si>
    <t>ETIQUETA UMI 100X119 - RR</t>
  </si>
  <si>
    <t>6163</t>
  </si>
  <si>
    <t>ETIQUETAS BOPP MET. VILA - 110X069 - RR</t>
  </si>
  <si>
    <t>6162</t>
  </si>
  <si>
    <t>ETIQUETAS BOPP MET. VILA ANGUS - 110X069 - RR</t>
  </si>
  <si>
    <t>6210</t>
  </si>
  <si>
    <t>ETIQUETAS BOPP MET.DOBLE CAPA 084X081 LAM. MATE VILA - BIFE DE VACIO - RR</t>
  </si>
  <si>
    <t>6206</t>
  </si>
  <si>
    <t>ETIQUETAS BOPP MET.DOBLE CAPA 084X081 LAM. MATE VILA - COLITA DE CUADRIL - RR</t>
  </si>
  <si>
    <t>6207</t>
  </si>
  <si>
    <t>ETIQUETAS BOPP MET.DOBLE CAPA 084X081 LAM. MATE VILA - ENTRAÑA FINA - RR</t>
  </si>
  <si>
    <t>6194</t>
  </si>
  <si>
    <t>ETIQUETAS EXTERNAS - CARNE PICADA BENDITA PRADERA 12,5 X 7,3 - IMPRIMEX</t>
  </si>
  <si>
    <t>6264</t>
  </si>
  <si>
    <t>ETIQUETAS FRONTAL BOPP TERMICO 100X119 IMP 6T. CHARRUA HEREFORD - RR</t>
  </si>
  <si>
    <t>6218</t>
  </si>
  <si>
    <t>ETIQUETAS POLIETILENO 100X119 VILA BLACK ANGUS - RR</t>
  </si>
  <si>
    <t>5200</t>
  </si>
  <si>
    <t>ETQ. NARANJA EXTERIOR - IMPRIMEX</t>
  </si>
  <si>
    <t>6139</t>
  </si>
  <si>
    <t>FAJAS TAURUS GOLD - 8x19.5cm - IMPRIMEX</t>
  </si>
  <si>
    <t>6137</t>
  </si>
  <si>
    <t>FAJAS THE BLACK ANGUS - 8x19.5cm - IMPRIMEX</t>
  </si>
  <si>
    <t>4325</t>
  </si>
  <si>
    <t>FILM FLEXO-HYBAR 2000 BLUE - ø200 - FLEXOPACK</t>
  </si>
  <si>
    <t>MT</t>
  </si>
  <si>
    <t>4003</t>
  </si>
  <si>
    <t>FILM FONDO FRESH CASE-ø178,422mm-A5109 - BEMIS</t>
  </si>
  <si>
    <t>2923</t>
  </si>
  <si>
    <t>FILM STRECH PREESTIRADO para máquina - 8 ø. DEMATTE</t>
  </si>
  <si>
    <t>3108</t>
  </si>
  <si>
    <t>FILM STRECH PREESTIRADO ø8 - manual- DEMATTE</t>
  </si>
  <si>
    <t>3950</t>
  </si>
  <si>
    <t>FLEJE HP x11mm - HILOS PLASTICOS</t>
  </si>
  <si>
    <t>6268</t>
  </si>
  <si>
    <t>FLEJE PET VERDE 11,5 MM 0.61 MM 2000 MTS - DEMATTE</t>
  </si>
  <si>
    <t>5776</t>
  </si>
  <si>
    <t>FLEXO-BASE TIN-PE S PL 5000 BLACK, 420 mm - FLEXOPACK</t>
  </si>
  <si>
    <t>6272</t>
  </si>
  <si>
    <t>FONDO 148 - CICSSA</t>
  </si>
  <si>
    <t>6254</t>
  </si>
  <si>
    <t>2049</t>
  </si>
  <si>
    <t>FONDO COFRE (para armar) -  Mercopack</t>
  </si>
  <si>
    <t>6296</t>
  </si>
  <si>
    <t>FONDO COFRE - PAMER</t>
  </si>
  <si>
    <t>6160</t>
  </si>
  <si>
    <t>FONDO COFRE CONGELADO AUTOARMABLE - IMPRIMEX</t>
  </si>
  <si>
    <t>3741</t>
  </si>
  <si>
    <t>FONDO COFRE ENFRIADO 580x250x150 - IMPRIMEX</t>
  </si>
  <si>
    <t>6186</t>
  </si>
  <si>
    <t>FONDO CONGELADO BOIX 4/P NUEVA MEDIDA - MERCOPACK</t>
  </si>
  <si>
    <t>6184</t>
  </si>
  <si>
    <t>FONDO CONGELADO COLAPSABLE - PAMER</t>
  </si>
  <si>
    <t>2046</t>
  </si>
  <si>
    <t>FONDO ENFRIADO  (boix) - Mercopack</t>
  </si>
  <si>
    <t>5524</t>
  </si>
  <si>
    <t>3155</t>
  </si>
  <si>
    <t>FONDO LOMO CONGELADO  - IMPRIMEX</t>
  </si>
  <si>
    <t>6153</t>
  </si>
  <si>
    <t>FONDO SKIN - ECOBLOCK - 422mmx450m - MERCOPACK</t>
  </si>
  <si>
    <t>6255</t>
  </si>
  <si>
    <t>FONDO SKIN TR 100 - MULTIPACK DIAMALER</t>
  </si>
  <si>
    <t>2128</t>
  </si>
  <si>
    <t>HILO 3X3 cortado a 1 m, estrobo</t>
  </si>
  <si>
    <t>2129</t>
  </si>
  <si>
    <t>HILO ALGODÓN 8/12</t>
  </si>
  <si>
    <t>3549</t>
  </si>
  <si>
    <t>HIPOCLORITO - ALLIANCE</t>
  </si>
  <si>
    <t>5465</t>
  </si>
  <si>
    <t>HOJA AZUL IMP. 85x115/ ø120 - STRONG</t>
  </si>
  <si>
    <t>4105</t>
  </si>
  <si>
    <t>HOJA GRIS 80X85/120 - STRONG</t>
  </si>
  <si>
    <t>5197</t>
  </si>
  <si>
    <t>HOJA ROLLO impr. 75x115/ø120 VIOLETA - STRONG</t>
  </si>
  <si>
    <t>2940</t>
  </si>
  <si>
    <t>hoja rollo impr. 90x90 (x45 abierta)/30ø - DISPLAST</t>
  </si>
  <si>
    <t>3553</t>
  </si>
  <si>
    <t>IMPACT ALKAMIL IA20 (deter) - LANYVEL</t>
  </si>
  <si>
    <t>3554</t>
  </si>
  <si>
    <t>IMPACT CHLORPLUS IPC20 (clorado) - LANYVEL</t>
  </si>
  <si>
    <t>3562</t>
  </si>
  <si>
    <t>IMPACT NEUTRAMAX FERRUM - LANYVEL</t>
  </si>
  <si>
    <t>3573</t>
  </si>
  <si>
    <t>IMPACT OXIMAX (oxigenado) - LANYVEL</t>
  </si>
  <si>
    <t>3558</t>
  </si>
  <si>
    <t>IMPACT XTRA IX20 (suavizante) - LANYVEL</t>
  </si>
  <si>
    <t>6183</t>
  </si>
  <si>
    <t>JABON MONRESA (PARA CAMIONES) - LINOVELL</t>
  </si>
  <si>
    <t>6134</t>
  </si>
  <si>
    <t>KALYCLEAN C220 (ESPUMADORA LIMPIEZA)- LINOVELL</t>
  </si>
  <si>
    <t>6040</t>
  </si>
  <si>
    <t>KALYCLEAN C272- desengrasante roldanas - LINOVELL</t>
  </si>
  <si>
    <t>3563</t>
  </si>
  <si>
    <t>LIMPIADOR MULTIUSO - TRES DEL SUR</t>
  </si>
  <si>
    <t>2206</t>
  </si>
  <si>
    <t>LUBRICANTE  DE ROLDANAS - ROL OIL - LINOVELL</t>
  </si>
  <si>
    <t>6230</t>
  </si>
  <si>
    <t>MARAFLEX CRISTAL 225 X 800 - AMCOR</t>
  </si>
  <si>
    <t>2210</t>
  </si>
  <si>
    <t>NEUTRAL FERRUM TWNF20 - LANYVEL</t>
  </si>
  <si>
    <t>5868</t>
  </si>
  <si>
    <t>3951</t>
  </si>
  <si>
    <t>PRECINTOS DE CHAPA de 11mm - HILOS PLASTICOS</t>
  </si>
  <si>
    <t>MIL</t>
  </si>
  <si>
    <t>2165</t>
  </si>
  <si>
    <t>RIBBON MIX TR 5050 - S236 - 104x450 - RR</t>
  </si>
  <si>
    <t>2167</t>
  </si>
  <si>
    <t>RIBBON PLUS TR 4085 - 76x410 (porcionado). SO55 - RR</t>
  </si>
  <si>
    <t>2169</t>
  </si>
  <si>
    <t>RIBBON PLUS TR 4085 - S032 - 51x450 (lazo faena) - RR</t>
  </si>
  <si>
    <t>3525</t>
  </si>
  <si>
    <t>ROL OIL - NP - (lubr. roldanas) - LINOVELL</t>
  </si>
  <si>
    <t>2157</t>
  </si>
  <si>
    <t>ROTULO  50x40 - BLANCO - RR</t>
  </si>
  <si>
    <t>2156</t>
  </si>
  <si>
    <t>ROTULO ILUSTR. 100x30, BLANCO - RR</t>
  </si>
  <si>
    <t>2159</t>
  </si>
  <si>
    <t>ROTULO ILUSTR. 30x13, BLANCO - RR</t>
  </si>
  <si>
    <t>2158</t>
  </si>
  <si>
    <t>ROTULO ILUSTR. 50x40, ROJO - RR</t>
  </si>
  <si>
    <t>2068</t>
  </si>
  <si>
    <t>SEPARADORES 530X145 - Mpack</t>
  </si>
  <si>
    <t>4653</t>
  </si>
  <si>
    <t>SEPARADORES 530X290 - MERCOPACK</t>
  </si>
  <si>
    <t>4986</t>
  </si>
  <si>
    <t>6286</t>
  </si>
  <si>
    <t>SOBRETAPA BIN SIMPLE (904743) - MERCOPACK</t>
  </si>
  <si>
    <t>4000</t>
  </si>
  <si>
    <t>SPEC s/aroma - LINOVELL</t>
  </si>
  <si>
    <t>6253</t>
  </si>
  <si>
    <t>STRETCH FILM AUTOMÁTICO HP 500x20x1625 - EMASAL</t>
  </si>
  <si>
    <t>445</t>
  </si>
  <si>
    <t>SULFATO DE ALUMINA - ISUSA</t>
  </si>
  <si>
    <t>TON</t>
  </si>
  <si>
    <t>6250</t>
  </si>
  <si>
    <t>SULFATO DE ALUMINIO - GREENTECH</t>
  </si>
  <si>
    <t>2054</t>
  </si>
  <si>
    <t>TAPA  BLANCA COFRE 135 (cartulina) - Mpack</t>
  </si>
  <si>
    <t>6228</t>
  </si>
  <si>
    <t>TAPA 135 COFRE (DOBLE CORRUGADO) PANDO COLLECTION ANGUS (NEGRA) - IMPRIMEX</t>
  </si>
  <si>
    <t>6271</t>
  </si>
  <si>
    <t>TAPA 148 - CICSSA</t>
  </si>
  <si>
    <t>6229</t>
  </si>
  <si>
    <t>2037</t>
  </si>
  <si>
    <t>TAPA BLANCA congelado 137 (p/armar)  Pamer</t>
  </si>
  <si>
    <t>2051</t>
  </si>
  <si>
    <t>TAPA BLANCA congelado 137 (p/armar) -  Mpack</t>
  </si>
  <si>
    <t>6185</t>
  </si>
  <si>
    <t>TAPA CONGELADO COLAPSABLE - PAMER</t>
  </si>
  <si>
    <t>6170</t>
  </si>
  <si>
    <t>Tapa DOM FIUZA BLACK ANGUS - cofre - IMPRIMEX</t>
  </si>
  <si>
    <t>3556</t>
  </si>
  <si>
    <t>TAPA DON PEDRO COFRE (135) - IMPRIMEX</t>
  </si>
  <si>
    <t>6289</t>
  </si>
  <si>
    <t>TAPA EL RANCHO BIFE ONTILCOR (TK002490) - MERCOPACK</t>
  </si>
  <si>
    <t>3819</t>
  </si>
  <si>
    <t>TAPA LA FINCA COFRE (135) - IMPRIMEX</t>
  </si>
  <si>
    <t>3561</t>
  </si>
  <si>
    <t>TAPA MARRON 138 micro - MERCOPACK</t>
  </si>
  <si>
    <t>6187</t>
  </si>
  <si>
    <t>TAPA N° 137 BOIX BLANCA NUEVA MEDIDA - MERCOPACK</t>
  </si>
  <si>
    <t>3660</t>
  </si>
  <si>
    <t>TAPA PANDO ANGUS COFRE CERTIFICADO (simil madera) - IMPRIMEX</t>
  </si>
  <si>
    <t>4728</t>
  </si>
  <si>
    <t>Tapa TAURUS GOLD cofre (doble corrugado) - IMPRIMEX</t>
  </si>
  <si>
    <t>6298</t>
  </si>
  <si>
    <t>TAPA TR TERMOF S/IMP N 1.5% 250 UM - MULTIPACK DIAMALER</t>
  </si>
  <si>
    <t>3759</t>
  </si>
  <si>
    <t>5523</t>
  </si>
  <si>
    <t>6241</t>
  </si>
  <si>
    <t>TAPA VILA GRIS PLATA GRANDE ONTILCOR - MERCOPACK</t>
  </si>
  <si>
    <t>4785</t>
  </si>
  <si>
    <t>TAPA ÖXNEHOLM cofre - IMPRIMEX</t>
  </si>
  <si>
    <t>5326</t>
  </si>
  <si>
    <t>TAPA/FONDO OCTOBIN JUMBO BOX - PAMER</t>
  </si>
  <si>
    <t>3905</t>
  </si>
  <si>
    <t>TAPAS UMI 136 (doble corrugado) - IMPRIMEX</t>
  </si>
  <si>
    <t>3901</t>
  </si>
  <si>
    <t>TAPAS UMI cofre (doble corrugado) - IMPRIMEX</t>
  </si>
  <si>
    <t>3552</t>
  </si>
  <si>
    <t>TECNOWASH LEADER  (deter) - LANYVEL</t>
  </si>
  <si>
    <t>2196</t>
  </si>
  <si>
    <t>TINTA G02 - azul - MARQUEZ</t>
  </si>
  <si>
    <t>2197</t>
  </si>
  <si>
    <t>TINTA G03 - roja - MARQUEZ</t>
  </si>
  <si>
    <t>3024</t>
  </si>
  <si>
    <t>WHITE CLEAN  X 5 - ABM</t>
  </si>
  <si>
    <t>Agru. Animal</t>
  </si>
  <si>
    <t>Agru. Operativo</t>
  </si>
  <si>
    <t>Tipo Cria</t>
  </si>
  <si>
    <t>Cabezas</t>
  </si>
  <si>
    <t>Rend</t>
  </si>
  <si>
    <t>Peso Prom.</t>
  </si>
  <si>
    <t>Kgs. Pie</t>
  </si>
  <si>
    <t>Kgs. Gancho</t>
  </si>
  <si>
    <t>Importe U$S</t>
  </si>
  <si>
    <t>Flete U$S</t>
  </si>
  <si>
    <t>Comisión U$S</t>
  </si>
  <si>
    <t>Costo Hacienda</t>
  </si>
  <si>
    <t>Fch. Inicial</t>
  </si>
  <si>
    <t>Fch. Final</t>
  </si>
  <si>
    <t>VACAS</t>
  </si>
  <si>
    <t>SIN CONVENIO</t>
  </si>
  <si>
    <t>PASTURA</t>
  </si>
  <si>
    <t>FEEDLOT</t>
  </si>
  <si>
    <t>SQN</t>
  </si>
  <si>
    <t>PABLO NIELL</t>
  </si>
  <si>
    <t>SQN PABLO NIELL</t>
  </si>
  <si>
    <t>NOVILLOS</t>
  </si>
  <si>
    <t>C481</t>
  </si>
  <si>
    <t>arrieta</t>
  </si>
  <si>
    <t>TERNEROS</t>
  </si>
  <si>
    <t>TOROS</t>
  </si>
  <si>
    <t>VAQUILLONA</t>
  </si>
  <si>
    <t>Total Mes</t>
  </si>
  <si>
    <t>GRANO</t>
  </si>
  <si>
    <t>Nombre del Producto</t>
  </si>
  <si>
    <t>Costo x Kls (U$S)</t>
  </si>
  <si>
    <t>Costo c/ Cobertura 3% (U$S)</t>
  </si>
  <si>
    <t>#¡DIV/0!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</si>
</sst>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dd/mm/yyyy"/>
    <numFmt numFmtId="165" formatCode="#,##0.000"/>
    <numFmt numFmtId="166" formatCode="#,##0;[Red](#,##0)"/>
    <numFmt numFmtId="167" formatCode="#,##0.00;[Red](#,##0.00)"/>
    <numFmt numFmtId="168" formatCode="#,##0.00;[Red](#,##0.00);-"/>
    <numFmt numFmtId="169" formatCode="0.00 %"/>
    <numFmt numFmtId="170" formatCode="dd-mmm"/>
    <numFmt numFmtId="171" formatCode="#,##0.000;[Red](#,##0.000)"/>
    <numFmt numFmtId="172" formatCode="0.0%"/>
    <numFmt numFmtId="173" formatCode="0 %"/>
    <numFmt numFmtId="174" formatCode="0.000"/>
    <numFmt numFmtId="175" formatCode="#,##0.0"/>
    <numFmt numFmtId="176" formatCode="0.0000"/>
  </numFmts>
  <fonts count="41" x14ac:knownFonts="1">
    <font>
      <color theme="1"/>
      <family val="2"/>
      <scheme val="minor"/>
      <sz val="11"/>
      <name val="Calibri"/>
    </font>
    <font>
      <charset val="1"/>
      <color theme="1"/>
      <family val="2"/>
      <sz val="9"/>
      <name val="Calibri"/>
    </font>
    <font>
      <b/>
      <charset val="1"/>
      <color theme="1"/>
      <family val="2"/>
      <sz val="9"/>
      <name val="Calibri"/>
    </font>
    <font>
      <b/>
      <color theme="1"/>
      <family val="2"/>
      <sz val="9"/>
      <name val="Calibri"/>
    </font>
    <font>
      <b/>
      <color theme="1"/>
      <family val="2"/>
      <scheme val="minor"/>
      <sz val="10"/>
      <name val="Aptos Narrow"/>
    </font>
    <font>
      <color theme="1"/>
      <family val="2"/>
      <sz val="9"/>
      <name val="Calibri"/>
    </font>
    <font>
      <color theme="1"/>
      <family val="2"/>
      <scheme val="minor"/>
      <sz val="9"/>
      <name val="Aptos Narrow"/>
    </font>
    <font>
      <charset val="1"/>
      <family val="2"/>
      <sz val="9"/>
      <name val="Calibri"/>
    </font>
    <font>
      <b/>
      <color theme="1"/>
      <family val="2"/>
      <sz val="11"/>
      <name val="Calibri"/>
    </font>
    <font>
      <color rgb="FF000000"/>
      <family val="2"/>
      <sz val="9"/>
      <name val="Calibri"/>
    </font>
    <font>
      <family val="2"/>
      <sz val="9"/>
      <name val="Calibri"/>
    </font>
    <font>
      <b/>
      <charset val="1"/>
      <color theme="1"/>
      <family val="2"/>
      <sz val="8"/>
      <name val="Calibri"/>
    </font>
    <font>
      <charset val="1"/>
      <color theme="1"/>
      <family val="2"/>
      <sz val="9"/>
      <name val="Aptos Narrow"/>
    </font>
    <font>
      <b/>
      <color theme="3" tint="0.249977111117893"/>
      <family val="2"/>
      <sz val="9"/>
      <name val="Calibri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b/>
      <charset val="1"/>
      <family val="2"/>
      <sz val="9"/>
      <name val="Calibri"/>
    </font>
    <font>
      <b/>
      <color theme="1"/>
      <family val="2"/>
      <sz val="9"/>
      <name val="Aptos Narrow"/>
    </font>
    <font>
      <u/>
      <color theme="1"/>
      <family val="2"/>
      <scheme val="minor"/>
      <sz val="9"/>
      <name val="Aptos Narrow"/>
    </font>
    <font>
      <b/>
      <charset val="1"/>
      <color theme="1"/>
      <family val="2"/>
      <sz val="10"/>
      <name val="Aptos Narrow"/>
    </font>
    <font>
      <b/>
      <color theme="1"/>
      <family val="2"/>
      <sz val="10"/>
      <name val="Calibri"/>
    </font>
    <font>
      <charset val="1"/>
      <color theme="1"/>
      <family val="2"/>
      <sz val="10"/>
      <name val="Calibri"/>
    </font>
    <font>
      <charset val="1"/>
      <color theme="1"/>
      <family val="2"/>
      <sz val="10"/>
      <name val="Aptos Narrow"/>
    </font>
    <font>
      <b/>
      <charset val="1"/>
      <color theme="1"/>
      <family val="2"/>
      <sz val="9"/>
      <name val="Aptos Narrow"/>
    </font>
    <font>
      <b/>
      <charset val="1"/>
      <color theme="3" tint="0.249885555589465"/>
      <family val="2"/>
      <sz val="9"/>
      <name val="Calibri"/>
    </font>
    <font>
      <charset val="1"/>
      <color rgb="FF000000"/>
      <family val="2"/>
      <sz val="9"/>
      <name val="Calibri"/>
    </font>
    <font>
      <b/>
      <charset val="1"/>
      <color rgb="FF000000"/>
      <family val="2"/>
      <sz val="9"/>
      <name val="Calibri"/>
    </font>
    <font>
      <charset val="1"/>
      <color theme="1"/>
      <family val="2"/>
      <sz val="11"/>
      <name val="Calibri"/>
    </font>
    <font>
      <b/>
      <charset val="1"/>
      <color theme="1"/>
      <family val="2"/>
      <sz val="14"/>
      <name val="Calibri"/>
    </font>
    <font>
      <b/>
      <color theme="1"/>
      <family val="2"/>
      <sz val="13"/>
      <name val="Calibri"/>
    </font>
    <font>
      <b/>
      <charset val="1"/>
      <color theme="1"/>
      <family val="2"/>
      <sz val="13"/>
      <name val="Calibri"/>
    </font>
    <font>
      <b/>
      <charset val="1"/>
      <color theme="1"/>
      <family val="2"/>
      <sz val="11"/>
      <name val="Calibri"/>
    </font>
    <font>
      <color theme="1"/>
      <family val="2"/>
      <sz val="11"/>
      <name val="Calibri"/>
    </font>
    <font>
      <b/>
      <charset val="1"/>
      <color theme="1"/>
      <family val="2"/>
      <sz val="10"/>
      <name val="Calibri"/>
    </font>
    <font>
      <b/>
      <charset val="1"/>
      <family val="2"/>
      <sz val="10"/>
      <name val="Calibri"/>
    </font>
    <font>
      <b/>
      <charset val="1"/>
      <color theme="0"/>
      <family val="2"/>
      <sz val="9"/>
      <name val="Calibri"/>
    </font>
    <font>
      <u/>
      <charset val="1"/>
      <color theme="1"/>
      <family val="2"/>
      <sz val="11"/>
      <name val="Calibri"/>
    </font>
    <font>
      <u/>
      <charset val="1"/>
      <color theme="1"/>
      <family val="2"/>
      <sz val="11"/>
      <name val="Aptos Narrow"/>
    </font>
    <font>
      <b/>
      <charset val="1"/>
      <color rgb="FFFFFFFF"/>
      <family val="2"/>
      <sz val="9"/>
      <name val="Calibri"/>
    </font>
    <font>
      <u/>
      <charset val="1"/>
      <color theme="1"/>
      <family val="2"/>
      <sz val="9"/>
      <name val="Calibri"/>
    </font>
    <font>
      <b/>
      <charset val="1"/>
      <color rgb="FFFFFFFF"/>
      <family val="2"/>
      <sz val="11"/>
      <name val="Aptos Narrow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rgb="FFD1D1D1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DDEBF7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8901333658864"/>
        <bgColor rgb="FFC2F1C8"/>
      </patternFill>
    </fill>
    <fill>
      <patternFill patternType="solid">
        <fgColor theme="0"/>
        <bgColor rgb="FFDDEBF7"/>
      </patternFill>
    </fill>
    <fill>
      <patternFill patternType="solid">
        <fgColor theme="2" tint="-0.0999786370433668"/>
        <bgColor rgb="FFD9D9D9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rgb="FFB4C7DC"/>
      </patternFill>
    </fill>
    <fill>
      <patternFill patternType="solid">
        <fgColor theme="9" tint="0.7999816888943144"/>
        <bgColor rgb="FFC2F1C8"/>
      </patternFill>
    </fill>
    <fill>
      <patternFill patternType="solid">
        <fgColor theme="5" tint="0.5999938962981048"/>
        <bgColor rgb="FFC2F1C8"/>
      </patternFill>
    </fill>
    <fill>
      <patternFill patternType="solid">
        <fgColor theme="0"/>
        <bgColor rgb="FFC2F1C8"/>
      </patternFill>
    </fill>
    <fill>
      <patternFill patternType="solid">
        <fgColor theme="6" tint="0.7998901333658864"/>
        <bgColor rgb="FFD9F2D0"/>
      </patternFill>
    </fill>
    <fill>
      <patternFill patternType="solid">
        <fgColor theme="0"/>
        <bgColor rgb="FFD1D1D1"/>
      </patternFill>
    </fill>
    <fill>
      <patternFill patternType="solid">
        <fgColor rgb="FFDDEBF7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rgb="FFB4C7DC"/>
        <bgColor rgb="FFBFBFBF"/>
      </patternFill>
    </fill>
    <fill>
      <patternFill patternType="solid">
        <fgColor rgb="FFFF7B59"/>
        <bgColor rgb="FFFF6600"/>
      </patternFill>
    </fill>
    <fill>
      <patternFill patternType="solid">
        <fgColor rgb="FF0070C0"/>
        <bgColor rgb="FF00808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5999938962981048"/>
        <bgColor rgb="FFBFBFBF"/>
      </patternFill>
    </fill>
    <fill>
      <patternFill patternType="solid">
        <fgColor rgb="FF000000"/>
        <bgColor rgb="FF003300"/>
      </patternFill>
    </fill>
    <fill>
      <patternFill patternType="solid">
        <fgColor rgb="FF99CCCC"/>
        <bgColor indexed="64"/>
      </patternFill>
    </fill>
    <fill>
      <patternFill patternType="solid">
        <fgColor rgb="FF4472C4"/>
        <bgColor indexed="64"/>
      </patternFill>
    </fill>
  </fills>
  <borders count="3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 style="thin"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/>
      <diagonal/>
    </border>
    <border>
      <left style="medium"/>
      <right style="thin"/>
      <top/>
      <bottom/>
      <diagonal/>
    </border>
    <border>
      <left/>
      <right style="thin"/>
      <top/>
      <bottom/>
      <diagonal/>
    </border>
    <border>
      <left style="medium"/>
      <right style="thin"/>
      <top/>
      <bottom style="medium"/>
      <diagonal/>
    </border>
    <border>
      <left/>
      <right style="thin"/>
      <top/>
      <bottom style="medium"/>
      <diagonal/>
    </border>
    <border>
      <left/>
      <right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14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6" fontId="7" fillId="4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6" fontId="1" fillId="6" borderId="0" xfId="0" applyNumberFormat="1" applyFont="1" applyFill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wrapText="1"/>
    </xf>
    <xf numFmtId="165" fontId="1" fillId="8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1" xfId="0" applyFont="1" applyBorder="1"/>
    <xf numFmtId="165" fontId="7" fillId="0" borderId="1" xfId="0" applyNumberFormat="1" applyFont="1" applyBorder="1" applyAlignment="1">
      <alignment horizontal="center"/>
    </xf>
    <xf numFmtId="0" fontId="1" fillId="6" borderId="0" xfId="0" applyFont="1" applyFill="1"/>
    <xf numFmtId="165" fontId="1" fillId="9" borderId="1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8" fillId="10" borderId="1" xfId="0" applyFont="1" applyFill="1" applyBorder="1"/>
    <xf numFmtId="0" fontId="5" fillId="10" borderId="1" xfId="0" applyFont="1" applyFill="1" applyBorder="1"/>
    <xf numFmtId="0" fontId="6" fillId="10" borderId="1" xfId="0" applyFont="1" applyFill="1" applyBorder="1" applyAlignment="1">
      <alignment horizontal="center"/>
    </xf>
    <xf numFmtId="0" fontId="3" fillId="11" borderId="1" xfId="0" applyFont="1" applyFill="1" applyBorder="1"/>
    <xf numFmtId="3" fontId="3" fillId="11" borderId="1" xfId="0" applyNumberFormat="1" applyFont="1" applyFill="1" applyBorder="1" applyAlignment="1">
      <alignment horizontal="center"/>
    </xf>
    <xf numFmtId="0" fontId="3" fillId="8" borderId="2" xfId="0" applyFont="1" applyFill="1" applyBorder="1"/>
    <xf numFmtId="0" fontId="4" fillId="8" borderId="0" xfId="0" applyFont="1" applyFill="1" applyAlignment="1">
      <alignment horizontal="center"/>
    </xf>
    <xf numFmtId="0" fontId="1" fillId="8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0" fontId="9" fillId="8" borderId="1" xfId="0" applyFont="1" applyFill="1" applyBorder="1" applyAlignment="1">
      <alignment horizontal="center"/>
    </xf>
    <xf numFmtId="168" fontId="7" fillId="8" borderId="1" xfId="0" applyNumberFormat="1" applyFont="1" applyFill="1" applyBorder="1" applyAlignment="1">
      <alignment horizontal="center"/>
    </xf>
    <xf numFmtId="4" fontId="1" fillId="8" borderId="1" xfId="0" applyNumberFormat="1" applyFont="1" applyFill="1" applyBorder="1" applyAlignment="1">
      <alignment horizontal="center"/>
    </xf>
    <xf numFmtId="2" fontId="9" fillId="8" borderId="1" xfId="0" applyNumberFormat="1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2" borderId="1" xfId="0" applyFont="1" applyFill="1" applyBorder="1"/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/>
    <xf numFmtId="168" fontId="7" fillId="13" borderId="1" xfId="0" applyNumberFormat="1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165" fontId="9" fillId="8" borderId="1" xfId="0" applyNumberFormat="1" applyFont="1" applyFill="1" applyBorder="1" applyAlignment="1">
      <alignment horizontal="center"/>
    </xf>
    <xf numFmtId="0" fontId="3" fillId="15" borderId="3" xfId="0" applyFont="1" applyFill="1" applyBorder="1"/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166" fontId="3" fillId="16" borderId="4" xfId="0" applyNumberFormat="1" applyFont="1" applyFill="1" applyBorder="1" applyAlignment="1">
      <alignment horizontal="center"/>
    </xf>
    <xf numFmtId="167" fontId="3" fillId="16" borderId="1" xfId="0" applyNumberFormat="1" applyFont="1" applyFill="1" applyBorder="1" applyAlignment="1">
      <alignment horizontal="center"/>
    </xf>
    <xf numFmtId="168" fontId="7" fillId="0" borderId="5" xfId="0" applyNumberFormat="1" applyFont="1" applyBorder="1" applyAlignment="1">
      <alignment horizontal="center"/>
    </xf>
    <xf numFmtId="0" fontId="1" fillId="6" borderId="6" xfId="0" applyFont="1" applyFill="1" applyBorder="1"/>
    <xf numFmtId="3" fontId="1" fillId="6" borderId="3" xfId="0" applyNumberFormat="1" applyFont="1" applyFill="1" applyBorder="1" applyAlignment="1">
      <alignment horizontal="center"/>
    </xf>
    <xf numFmtId="4" fontId="1" fillId="6" borderId="1" xfId="0" applyNumberFormat="1" applyFont="1" applyFill="1" applyBorder="1"/>
    <xf numFmtId="0" fontId="1" fillId="8" borderId="2" xfId="0" applyFont="1" applyFill="1" applyBorder="1"/>
    <xf numFmtId="0" fontId="1" fillId="17" borderId="0" xfId="0" applyFont="1" applyFill="1"/>
    <xf numFmtId="169" fontId="1" fillId="0" borderId="0" xfId="0" applyNumberFormat="1" applyFont="1" applyAlignment="1">
      <alignment horizontal="center"/>
    </xf>
    <xf numFmtId="169" fontId="1" fillId="0" borderId="5" xfId="0" applyNumberFormat="1" applyFont="1" applyBorder="1" applyAlignment="1">
      <alignment horizontal="center"/>
    </xf>
    <xf numFmtId="10" fontId="1" fillId="0" borderId="5" xfId="0" applyNumberFormat="1" applyFont="1" applyBorder="1"/>
    <xf numFmtId="166" fontId="1" fillId="18" borderId="0" xfId="0" applyNumberFormat="1" applyFont="1" applyFill="1"/>
    <xf numFmtId="0" fontId="2" fillId="0" borderId="2" xfId="0" applyFont="1" applyBorder="1"/>
    <xf numFmtId="170" fontId="11" fillId="19" borderId="0" xfId="0" applyNumberFormat="1" applyFont="1" applyFill="1" applyAlignment="1">
      <alignment horizontal="center"/>
    </xf>
    <xf numFmtId="0" fontId="2" fillId="0" borderId="0" xfId="0" applyFont="1"/>
    <xf numFmtId="0" fontId="11" fillId="19" borderId="7" xfId="0" applyFont="1" applyFill="1" applyBorder="1" applyAlignment="1">
      <alignment horizontal="center"/>
    </xf>
    <xf numFmtId="0" fontId="11" fillId="19" borderId="7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8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8" xfId="0" applyFont="1" applyBorder="1"/>
    <xf numFmtId="171" fontId="1" fillId="0" borderId="0" xfId="0" applyNumberFormat="1" applyFont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0" fontId="1" fillId="0" borderId="8" xfId="0" applyFont="1" applyBorder="1"/>
    <xf numFmtId="166" fontId="1" fillId="0" borderId="8" xfId="0" applyNumberFormat="1" applyFont="1" applyBorder="1" applyAlignment="1">
      <alignment horizontal="center"/>
    </xf>
    <xf numFmtId="166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/>
    <xf numFmtId="0" fontId="12" fillId="0" borderId="0" xfId="0" applyFont="1" applyAlignment="1">
      <alignment horizontal="center"/>
    </xf>
    <xf numFmtId="0" fontId="13" fillId="20" borderId="2" xfId="0" applyFont="1" applyFill="1" applyBorder="1"/>
    <xf numFmtId="1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13" fillId="20" borderId="8" xfId="0" applyFont="1" applyFill="1" applyBorder="1" applyAlignment="1">
      <alignment horizontal="center"/>
    </xf>
    <xf numFmtId="0" fontId="13" fillId="20" borderId="8" xfId="0" applyFont="1" applyFill="1" applyBorder="1"/>
    <xf numFmtId="0" fontId="3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171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71" fontId="7" fillId="8" borderId="0" xfId="0" applyNumberFormat="1" applyFont="1" applyFill="1" applyAlignment="1">
      <alignment horizontal="center"/>
    </xf>
    <xf numFmtId="0" fontId="15" fillId="0" borderId="0" xfId="0" applyFont="1"/>
    <xf numFmtId="0" fontId="3" fillId="20" borderId="1" xfId="0" applyFont="1" applyFill="1" applyBorder="1"/>
    <xf numFmtId="0" fontId="15" fillId="21" borderId="5" xfId="0" applyFont="1" applyFill="1" applyBorder="1"/>
    <xf numFmtId="166" fontId="16" fillId="21" borderId="5" xfId="0" applyNumberFormat="1" applyFont="1" applyFill="1" applyBorder="1" applyAlignment="1">
      <alignment horizontal="center"/>
    </xf>
    <xf numFmtId="0" fontId="17" fillId="11" borderId="0" xfId="0" applyFont="1" applyFill="1" applyAlignment="1">
      <alignment horizontal="center"/>
    </xf>
    <xf numFmtId="165" fontId="7" fillId="17" borderId="0" xfId="0" applyNumberFormat="1" applyFont="1" applyFill="1" applyAlignment="1">
      <alignment horizontal="center"/>
    </xf>
    <xf numFmtId="3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0" fontId="14" fillId="11" borderId="0" xfId="0" applyFont="1" applyFill="1"/>
    <xf numFmtId="167" fontId="12" fillId="0" borderId="4" xfId="0" applyNumberFormat="1" applyFont="1" applyBorder="1" applyAlignment="1">
      <alignment horizontal="center"/>
    </xf>
    <xf numFmtId="165" fontId="7" fillId="22" borderId="0" xfId="0" applyNumberFormat="1" applyFont="1" applyFill="1" applyAlignment="1">
      <alignment horizontal="center"/>
    </xf>
    <xf numFmtId="167" fontId="12" fillId="9" borderId="4" xfId="0" applyNumberFormat="1" applyFont="1" applyFill="1" applyBorder="1" applyAlignment="1">
      <alignment horizontal="center"/>
    </xf>
    <xf numFmtId="167" fontId="12" fillId="9" borderId="1" xfId="0" applyNumberFormat="1" applyFont="1" applyFill="1" applyBorder="1" applyAlignment="1">
      <alignment horizontal="center"/>
    </xf>
    <xf numFmtId="165" fontId="7" fillId="23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167" fontId="12" fillId="11" borderId="2" xfId="0" applyNumberFormat="1" applyFont="1" applyFill="1" applyBorder="1" applyAlignment="1">
      <alignment horizontal="center"/>
    </xf>
    <xf numFmtId="167" fontId="12" fillId="11" borderId="0" xfId="0" applyNumberFormat="1" applyFont="1" applyFill="1" applyAlignment="1">
      <alignment horizontal="center"/>
    </xf>
    <xf numFmtId="3" fontId="12" fillId="11" borderId="8" xfId="0" applyNumberFormat="1" applyFont="1" applyFill="1" applyBorder="1" applyAlignment="1">
      <alignment horizontal="center"/>
    </xf>
    <xf numFmtId="166" fontId="7" fillId="11" borderId="8" xfId="0" applyNumberFormat="1" applyFont="1" applyFill="1" applyBorder="1" applyAlignment="1">
      <alignment horizontal="center"/>
    </xf>
    <xf numFmtId="167" fontId="12" fillId="11" borderId="8" xfId="0" applyNumberFormat="1" applyFont="1" applyFill="1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7" fontId="12" fillId="0" borderId="3" xfId="0" applyNumberFormat="1" applyFont="1" applyBorder="1" applyAlignment="1">
      <alignment horizontal="center"/>
    </xf>
    <xf numFmtId="167" fontId="12" fillId="9" borderId="2" xfId="0" applyNumberFormat="1" applyFont="1" applyFill="1" applyBorder="1" applyAlignment="1">
      <alignment horizontal="center"/>
    </xf>
    <xf numFmtId="0" fontId="14" fillId="9" borderId="0" xfId="0" applyFont="1" applyFill="1"/>
    <xf numFmtId="166" fontId="7" fillId="0" borderId="6" xfId="0" applyNumberFormat="1" applyFont="1" applyBorder="1" applyAlignment="1">
      <alignment horizontal="center"/>
    </xf>
    <xf numFmtId="167" fontId="12" fillId="8" borderId="1" xfId="0" applyNumberFormat="1" applyFont="1" applyFill="1" applyBorder="1" applyAlignment="1">
      <alignment horizontal="center"/>
    </xf>
    <xf numFmtId="0" fontId="19" fillId="0" borderId="0" xfId="0" applyFont="1"/>
    <xf numFmtId="0" fontId="5" fillId="12" borderId="4" xfId="0" applyFont="1" applyFill="1" applyBorder="1"/>
    <xf numFmtId="3" fontId="12" fillId="0" borderId="4" xfId="0" applyNumberFormat="1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167" fontId="12" fillId="8" borderId="4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7" fillId="24" borderId="5" xfId="0" applyNumberFormat="1" applyFont="1" applyFill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3" fontId="12" fillId="8" borderId="5" xfId="0" applyNumberFormat="1" applyFont="1" applyFill="1" applyBorder="1" applyAlignment="1">
      <alignment horizontal="center"/>
    </xf>
    <xf numFmtId="166" fontId="7" fillId="8" borderId="5" xfId="0" applyNumberFormat="1" applyFont="1" applyFill="1" applyBorder="1" applyAlignment="1">
      <alignment horizontal="center"/>
    </xf>
    <xf numFmtId="167" fontId="12" fillId="8" borderId="5" xfId="0" applyNumberFormat="1" applyFont="1" applyFill="1" applyBorder="1" applyAlignment="1">
      <alignment horizontal="center"/>
    </xf>
    <xf numFmtId="0" fontId="5" fillId="0" borderId="3" xfId="0" applyFont="1" applyBorder="1"/>
    <xf numFmtId="165" fontId="7" fillId="24" borderId="0" xfId="0" applyNumberFormat="1" applyFont="1" applyFill="1" applyAlignment="1">
      <alignment horizontal="center"/>
    </xf>
    <xf numFmtId="0" fontId="20" fillId="0" borderId="1" xfId="0" applyFont="1" applyBorder="1"/>
    <xf numFmtId="0" fontId="20" fillId="20" borderId="1" xfId="0" applyFont="1" applyFill="1" applyBorder="1"/>
    <xf numFmtId="0" fontId="14" fillId="0" borderId="9" xfId="0" applyFont="1" applyBorder="1"/>
    <xf numFmtId="3" fontId="19" fillId="19" borderId="1" xfId="0" applyNumberFormat="1" applyFont="1" applyFill="1" applyBorder="1" applyAlignment="1">
      <alignment horizontal="center"/>
    </xf>
    <xf numFmtId="166" fontId="16" fillId="21" borderId="1" xfId="0" applyNumberFormat="1" applyFont="1" applyFill="1" applyBorder="1" applyAlignment="1">
      <alignment horizontal="center"/>
    </xf>
    <xf numFmtId="0" fontId="21" fillId="25" borderId="0" xfId="0" applyFont="1" applyFill="1"/>
    <xf numFmtId="9" fontId="22" fillId="25" borderId="0" xfId="0" applyNumberFormat="1" applyFont="1" applyFill="1" applyAlignment="1">
      <alignment horizontal="center"/>
    </xf>
    <xf numFmtId="3" fontId="22" fillId="25" borderId="0" xfId="0" applyNumberFormat="1" applyFont="1" applyFill="1" applyAlignment="1">
      <alignment horizontal="center"/>
    </xf>
    <xf numFmtId="3" fontId="12" fillId="25" borderId="0" xfId="0" applyNumberFormat="1" applyFont="1" applyFill="1" applyAlignment="1">
      <alignment horizontal="center"/>
    </xf>
    <xf numFmtId="3" fontId="12" fillId="25" borderId="5" xfId="0" applyNumberFormat="1" applyFont="1" applyFill="1" applyBorder="1" applyAlignment="1">
      <alignment horizontal="center"/>
    </xf>
    <xf numFmtId="0" fontId="12" fillId="8" borderId="0" xfId="0" applyFont="1" applyFill="1"/>
    <xf numFmtId="0" fontId="1" fillId="0" borderId="2" xfId="0" applyFont="1" applyBorder="1"/>
    <xf numFmtId="0" fontId="1" fillId="17" borderId="5" xfId="0" applyFont="1" applyFill="1" applyBorder="1"/>
    <xf numFmtId="10" fontId="1" fillId="12" borderId="5" xfId="0" applyNumberFormat="1" applyFont="1" applyFill="1" applyBorder="1" applyAlignment="1">
      <alignment horizontal="center"/>
    </xf>
    <xf numFmtId="3" fontId="14" fillId="0" borderId="0" xfId="0" applyNumberFormat="1" applyFont="1"/>
    <xf numFmtId="0" fontId="2" fillId="0" borderId="5" xfId="0" applyFont="1" applyBorder="1"/>
    <xf numFmtId="16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165" fontId="19" fillId="19" borderId="10" xfId="0" applyNumberFormat="1" applyFont="1" applyFill="1" applyBorder="1" applyAlignment="1">
      <alignment horizontal="center"/>
    </xf>
    <xf numFmtId="0" fontId="12" fillId="0" borderId="0" xfId="0" applyFont="1"/>
    <xf numFmtId="14" fontId="3" fillId="20" borderId="0" xfId="0" applyNumberFormat="1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7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165" fontId="7" fillId="8" borderId="0" xfId="0" applyNumberFormat="1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24" fillId="3" borderId="5" xfId="0" applyFont="1" applyFill="1" applyBorder="1"/>
    <xf numFmtId="3" fontId="2" fillId="19" borderId="5" xfId="0" applyNumberFormat="1" applyFont="1" applyFill="1" applyBorder="1" applyAlignment="1">
      <alignment horizontal="center"/>
    </xf>
    <xf numFmtId="14" fontId="3" fillId="20" borderId="2" xfId="0" applyNumberFormat="1" applyFont="1" applyFill="1" applyBorder="1" applyAlignment="1">
      <alignment horizontal="center"/>
    </xf>
    <xf numFmtId="0" fontId="3" fillId="20" borderId="8" xfId="0" applyFont="1" applyFill="1" applyBorder="1" applyAlignment="1">
      <alignment horizontal="center"/>
    </xf>
    <xf numFmtId="172" fontId="1" fillId="0" borderId="0" xfId="0" applyNumberFormat="1" applyFont="1" applyAlignment="1">
      <alignment horizontal="center"/>
    </xf>
    <xf numFmtId="0" fontId="2" fillId="19" borderId="5" xfId="0" applyFont="1" applyFill="1" applyBorder="1" applyAlignment="1">
      <alignment horizontal="center"/>
    </xf>
    <xf numFmtId="4" fontId="12" fillId="0" borderId="0" xfId="0" applyNumberFormat="1" applyFont="1" applyAlignment="1">
      <alignment horizontal="center"/>
    </xf>
    <xf numFmtId="0" fontId="24" fillId="3" borderId="5" xfId="0" applyFont="1" applyFill="1" applyBorder="1" applyAlignment="1">
      <alignment horizontal="center"/>
    </xf>
    <xf numFmtId="3" fontId="24" fillId="3" borderId="5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4" fillId="3" borderId="0" xfId="0" applyFont="1" applyFill="1"/>
    <xf numFmtId="170" fontId="2" fillId="3" borderId="0" xfId="0" applyNumberFormat="1" applyFont="1" applyFill="1" applyAlignment="1">
      <alignment horizontal="center"/>
    </xf>
    <xf numFmtId="0" fontId="12" fillId="3" borderId="0" xfId="0" applyFont="1" applyFill="1"/>
    <xf numFmtId="1" fontId="1" fillId="0" borderId="0" xfId="0" applyNumberFormat="1" applyFont="1" applyAlignment="1">
      <alignment horizontal="center"/>
    </xf>
    <xf numFmtId="0" fontId="12" fillId="26" borderId="0" xfId="0" applyFont="1" applyFill="1"/>
    <xf numFmtId="3" fontId="1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3" fontId="2" fillId="3" borderId="5" xfId="0" applyNumberFormat="1" applyFont="1" applyFill="1" applyBorder="1" applyAlignment="1">
      <alignment horizont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7" fontId="26" fillId="0" borderId="12" xfId="0" applyNumberFormat="1" applyFont="1" applyBorder="1" applyAlignment="1">
      <alignment horizontal="center" vertical="center"/>
    </xf>
    <xf numFmtId="0" fontId="26" fillId="27" borderId="13" xfId="0" applyFont="1" applyFill="1" applyBorder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0" fontId="26" fillId="27" borderId="9" xfId="0" applyFont="1" applyFill="1" applyBorder="1" applyAlignment="1">
      <alignment horizontal="center" vertical="center"/>
    </xf>
    <xf numFmtId="0" fontId="26" fillId="27" borderId="8" xfId="0" applyFont="1" applyFill="1" applyBorder="1" applyAlignment="1">
      <alignment horizontal="center" vertical="center"/>
    </xf>
    <xf numFmtId="0" fontId="26" fillId="27" borderId="15" xfId="0" applyFont="1" applyFill="1" applyBorder="1" applyAlignment="1">
      <alignment horizontal="center" vertical="center"/>
    </xf>
    <xf numFmtId="0" fontId="26" fillId="27" borderId="16" xfId="0" applyFont="1" applyFill="1" applyBorder="1" applyAlignment="1">
      <alignment horizontal="center" vertical="center"/>
    </xf>
    <xf numFmtId="0" fontId="26" fillId="27" borderId="17" xfId="0" applyFont="1" applyFill="1" applyBorder="1" applyAlignment="1">
      <alignment horizontal="center" vertical="center"/>
    </xf>
    <xf numFmtId="173" fontId="26" fillId="27" borderId="0" xfId="0" applyNumberFormat="1" applyFont="1" applyFill="1" applyAlignment="1">
      <alignment horizontal="center" vertical="center"/>
    </xf>
    <xf numFmtId="169" fontId="26" fillId="27" borderId="18" xfId="0" applyNumberFormat="1" applyFont="1" applyFill="1" applyBorder="1" applyAlignment="1">
      <alignment horizontal="center" vertical="center"/>
    </xf>
    <xf numFmtId="169" fontId="26" fillId="27" borderId="19" xfId="0" applyNumberFormat="1" applyFont="1" applyFill="1" applyBorder="1" applyAlignment="1">
      <alignment horizontal="center" vertical="center"/>
    </xf>
    <xf numFmtId="169" fontId="26" fillId="27" borderId="20" xfId="0" applyNumberFormat="1" applyFont="1" applyFill="1" applyBorder="1" applyAlignment="1">
      <alignment horizontal="center" vertical="center"/>
    </xf>
    <xf numFmtId="0" fontId="26" fillId="27" borderId="2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4" fontId="26" fillId="0" borderId="1" xfId="0" applyNumberFormat="1" applyFont="1" applyBorder="1" applyAlignment="1">
      <alignment horizontal="center" vertical="center"/>
    </xf>
    <xf numFmtId="4" fontId="25" fillId="0" borderId="1" xfId="0" applyNumberFormat="1" applyFont="1" applyBorder="1" applyAlignment="1">
      <alignment horizontal="center" vertical="center"/>
    </xf>
    <xf numFmtId="4" fontId="25" fillId="0" borderId="9" xfId="0" applyNumberFormat="1" applyFont="1" applyBorder="1" applyAlignment="1">
      <alignment horizontal="center" vertical="center"/>
    </xf>
    <xf numFmtId="4" fontId="26" fillId="27" borderId="22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horizontal="center" vertical="center"/>
    </xf>
    <xf numFmtId="4" fontId="26" fillId="0" borderId="4" xfId="0" applyNumberFormat="1" applyFont="1" applyBorder="1" applyAlignment="1">
      <alignment horizontal="center" vertical="center"/>
    </xf>
    <xf numFmtId="4" fontId="25" fillId="0" borderId="4" xfId="0" applyNumberFormat="1" applyFont="1" applyBorder="1" applyAlignment="1">
      <alignment horizontal="center" vertical="center"/>
    </xf>
    <xf numFmtId="4" fontId="25" fillId="0" borderId="17" xfId="0" applyNumberFormat="1" applyFont="1" applyBorder="1" applyAlignment="1">
      <alignment horizontal="center" vertical="center"/>
    </xf>
    <xf numFmtId="4" fontId="26" fillId="27" borderId="15" xfId="0" applyNumberFormat="1" applyFont="1" applyFill="1" applyBorder="1" applyAlignment="1">
      <alignment horizontal="center" vertical="center"/>
    </xf>
    <xf numFmtId="0" fontId="2" fillId="28" borderId="23" xfId="0" applyFont="1" applyFill="1" applyBorder="1" applyAlignment="1">
      <alignment horizontal="center"/>
    </xf>
    <xf numFmtId="0" fontId="26" fillId="28" borderId="24" xfId="0" applyFont="1" applyFill="1" applyBorder="1" applyAlignment="1">
      <alignment horizontal="center" vertical="center"/>
    </xf>
    <xf numFmtId="4" fontId="26" fillId="28" borderId="25" xfId="0" applyNumberFormat="1" applyFont="1" applyFill="1" applyBorder="1" applyAlignment="1">
      <alignment horizontal="center" vertical="center"/>
    </xf>
    <xf numFmtId="4" fontId="26" fillId="28" borderId="24" xfId="0" applyNumberFormat="1" applyFont="1" applyFill="1" applyBorder="1" applyAlignment="1">
      <alignment horizontal="center" vertical="center"/>
    </xf>
    <xf numFmtId="4" fontId="26" fillId="28" borderId="23" xfId="0" applyNumberFormat="1" applyFont="1" applyFill="1" applyBorder="1" applyAlignment="1">
      <alignment horizontal="center" vertical="center"/>
    </xf>
    <xf numFmtId="0" fontId="26" fillId="0" borderId="26" xfId="0" applyFont="1" applyBorder="1" applyAlignment="1">
      <alignment vertical="center"/>
    </xf>
    <xf numFmtId="0" fontId="26" fillId="0" borderId="27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6" fillId="0" borderId="29" xfId="0" applyFont="1" applyBorder="1" applyAlignment="1">
      <alignment vertical="center"/>
    </xf>
    <xf numFmtId="0" fontId="26" fillId="0" borderId="20" xfId="0" applyFont="1" applyBorder="1" applyAlignment="1">
      <alignment vertical="center"/>
    </xf>
    <xf numFmtId="0" fontId="26" fillId="0" borderId="20" xfId="0" applyFont="1" applyBorder="1" applyAlignment="1">
      <alignment horizontal="center" vertical="center"/>
    </xf>
    <xf numFmtId="0" fontId="26" fillId="0" borderId="30" xfId="0" applyFont="1" applyBorder="1" applyAlignment="1">
      <alignment vertical="center"/>
    </xf>
    <xf numFmtId="171" fontId="1" fillId="0" borderId="1" xfId="0" applyNumberFormat="1" applyFont="1" applyBorder="1" applyAlignment="1">
      <alignment horizontal="center"/>
    </xf>
    <xf numFmtId="0" fontId="1" fillId="0" borderId="31" xfId="0" applyFont="1" applyBorder="1"/>
    <xf numFmtId="0" fontId="1" fillId="6" borderId="31" xfId="0" applyFont="1" applyFill="1" applyBorder="1" applyAlignment="1">
      <alignment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7" fillId="0" borderId="0" xfId="0" applyFont="1"/>
    <xf numFmtId="0" fontId="28" fillId="29" borderId="0" xfId="0" applyFont="1" applyFill="1" applyAlignment="1">
      <alignment horizontal="center"/>
    </xf>
    <xf numFmtId="2" fontId="27" fillId="0" borderId="0" xfId="0" applyNumberFormat="1" applyFont="1" applyAlignment="1">
      <alignment horizontal="center"/>
    </xf>
    <xf numFmtId="0" fontId="29" fillId="29" borderId="0" xfId="0" applyFont="1" applyFill="1" applyAlignment="1">
      <alignment horizontal="center"/>
    </xf>
    <xf numFmtId="174" fontId="27" fillId="0" borderId="0" xfId="0" applyNumberFormat="1" applyFont="1" applyAlignment="1">
      <alignment horizontal="center"/>
    </xf>
    <xf numFmtId="0" fontId="30" fillId="29" borderId="0" xfId="0" applyFont="1" applyFill="1" applyAlignment="1">
      <alignment horizontal="center"/>
    </xf>
    <xf numFmtId="0" fontId="30" fillId="9" borderId="0" xfId="0" applyFont="1" applyFill="1" applyAlignment="1">
      <alignment horizontal="center"/>
    </xf>
    <xf numFmtId="0" fontId="31" fillId="0" borderId="0" xfId="0" applyFont="1"/>
    <xf numFmtId="0" fontId="31" fillId="9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7" fillId="30" borderId="0" xfId="0" applyFont="1" applyFill="1"/>
    <xf numFmtId="0" fontId="31" fillId="30" borderId="0" xfId="0" applyFont="1" applyFill="1"/>
    <xf numFmtId="2" fontId="27" fillId="8" borderId="0" xfId="0" applyNumberFormat="1" applyFont="1" applyFill="1"/>
    <xf numFmtId="0" fontId="27" fillId="31" borderId="0" xfId="0" applyFont="1" applyFill="1"/>
    <xf numFmtId="0" fontId="31" fillId="31" borderId="0" xfId="0" applyFont="1" applyFill="1"/>
    <xf numFmtId="2" fontId="27" fillId="31" borderId="0" xfId="0" applyNumberFormat="1" applyFont="1" applyFill="1" applyAlignment="1">
      <alignment horizontal="center"/>
    </xf>
    <xf numFmtId="2" fontId="32" fillId="31" borderId="0" xfId="0" applyNumberFormat="1" applyFont="1" applyFill="1" applyAlignment="1">
      <alignment horizontal="center"/>
    </xf>
    <xf numFmtId="0" fontId="27" fillId="31" borderId="8" xfId="0" applyFont="1" applyFill="1" applyBorder="1" applyAlignment="1">
      <alignment horizontal="left"/>
    </xf>
    <xf numFmtId="0" fontId="31" fillId="31" borderId="8" xfId="0" applyFont="1" applyFill="1" applyBorder="1"/>
    <xf numFmtId="0" fontId="27" fillId="31" borderId="1" xfId="0" applyFont="1" applyFill="1" applyBorder="1"/>
    <xf numFmtId="2" fontId="27" fillId="0" borderId="0" xfId="0" applyNumberFormat="1" applyFont="1"/>
    <xf numFmtId="0" fontId="27" fillId="31" borderId="8" xfId="0" applyFont="1" applyFill="1" applyBorder="1"/>
    <xf numFmtId="0" fontId="33" fillId="31" borderId="8" xfId="0" applyFont="1" applyFill="1" applyBorder="1"/>
    <xf numFmtId="0" fontId="27" fillId="0" borderId="33" xfId="0" applyFont="1" applyBorder="1"/>
    <xf numFmtId="0" fontId="32" fillId="31" borderId="8" xfId="0" applyFont="1" applyFill="1" applyBorder="1" applyAlignment="1">
      <alignment horizontal="left"/>
    </xf>
    <xf numFmtId="2" fontId="27" fillId="31" borderId="8" xfId="0" applyNumberFormat="1" applyFont="1" applyFill="1" applyBorder="1"/>
    <xf numFmtId="2" fontId="27" fillId="0" borderId="33" xfId="0" applyNumberFormat="1" applyFont="1" applyBorder="1"/>
    <xf numFmtId="0" fontId="2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31" xfId="0" applyFont="1" applyBorder="1"/>
    <xf numFmtId="0" fontId="16" fillId="32" borderId="1" xfId="0" applyFont="1" applyFill="1" applyBorder="1" applyAlignment="1">
      <alignment horizontal="center"/>
    </xf>
    <xf numFmtId="0" fontId="34" fillId="32" borderId="1" xfId="0" applyFont="1" applyFill="1" applyBorder="1"/>
    <xf numFmtId="0" fontId="34" fillId="32" borderId="3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74" fontId="7" fillId="0" borderId="1" xfId="0" applyNumberFormat="1" applyFont="1" applyBorder="1" applyAlignment="1">
      <alignment horizontal="center"/>
    </xf>
    <xf numFmtId="0" fontId="1" fillId="0" borderId="3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31" xfId="0" applyFont="1" applyBorder="1"/>
    <xf numFmtId="0" fontId="27" fillId="8" borderId="0" xfId="0" applyFont="1" applyFill="1"/>
    <xf numFmtId="0" fontId="1" fillId="0" borderId="31" xfId="0" applyFont="1" applyBorder="1" applyAlignment="1">
      <alignment horizontal="left"/>
    </xf>
    <xf numFmtId="174" fontId="1" fillId="0" borderId="1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32" borderId="1" xfId="0" applyFont="1" applyFill="1" applyBorder="1" applyAlignment="1">
      <alignment horizontal="center"/>
    </xf>
    <xf numFmtId="174" fontId="7" fillId="32" borderId="1" xfId="0" applyNumberFormat="1" applyFont="1" applyFill="1" applyBorder="1" applyAlignment="1">
      <alignment horizontal="center"/>
    </xf>
    <xf numFmtId="0" fontId="34" fillId="32" borderId="1" xfId="0" applyFont="1" applyFill="1" applyBorder="1" applyAlignment="1">
      <alignment horizontal="center"/>
    </xf>
    <xf numFmtId="165" fontId="34" fillId="32" borderId="1" xfId="0" applyNumberFormat="1" applyFont="1" applyFill="1" applyBorder="1" applyAlignment="1">
      <alignment horizontal="center"/>
    </xf>
    <xf numFmtId="0" fontId="7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165" fontId="24" fillId="0" borderId="1" xfId="0" applyNumberFormat="1" applyFont="1" applyBorder="1" applyAlignment="1">
      <alignment horizontal="center"/>
    </xf>
    <xf numFmtId="0" fontId="7" fillId="0" borderId="3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65" fontId="24" fillId="0" borderId="5" xfId="0" applyNumberFormat="1" applyFont="1" applyBorder="1" applyAlignment="1">
      <alignment horizontal="center"/>
    </xf>
    <xf numFmtId="0" fontId="24" fillId="0" borderId="31" xfId="0" applyFont="1" applyBorder="1"/>
    <xf numFmtId="2" fontId="7" fillId="0" borderId="1" xfId="0" applyNumberFormat="1" applyFont="1" applyBorder="1" applyAlignment="1">
      <alignment horizontal="center"/>
    </xf>
    <xf numFmtId="0" fontId="24" fillId="28" borderId="5" xfId="0" applyFont="1" applyFill="1" applyBorder="1"/>
    <xf numFmtId="165" fontId="24" fillId="28" borderId="5" xfId="0" applyNumberFormat="1" applyFont="1" applyFill="1" applyBorder="1" applyAlignment="1">
      <alignment horizontal="center"/>
    </xf>
    <xf numFmtId="0" fontId="24" fillId="28" borderId="1" xfId="0" applyFont="1" applyFill="1" applyBorder="1"/>
    <xf numFmtId="165" fontId="24" fillId="28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4" fillId="28" borderId="31" xfId="0" applyFont="1" applyFill="1" applyBorder="1"/>
    <xf numFmtId="0" fontId="27" fillId="0" borderId="1" xfId="0" applyFont="1" applyBorder="1"/>
    <xf numFmtId="0" fontId="2" fillId="3" borderId="5" xfId="0" applyFont="1" applyFill="1" applyBorder="1"/>
    <xf numFmtId="4" fontId="2" fillId="3" borderId="5" xfId="0" applyNumberFormat="1" applyFont="1" applyFill="1" applyBorder="1" applyAlignment="1">
      <alignment horizontal="center"/>
    </xf>
    <xf numFmtId="0" fontId="35" fillId="33" borderId="0" xfId="0" applyFont="1" applyFill="1"/>
    <xf numFmtId="165" fontId="1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/>
    </xf>
    <xf numFmtId="165" fontId="2" fillId="21" borderId="5" xfId="0" applyNumberFormat="1" applyFont="1" applyFill="1" applyBorder="1" applyAlignment="1">
      <alignment horizontal="center"/>
    </xf>
    <xf numFmtId="0" fontId="36" fillId="0" borderId="0" xfId="0" applyFont="1"/>
    <xf numFmtId="0" fontId="1" fillId="34" borderId="1" xfId="0" applyFont="1" applyFill="1" applyBorder="1" applyAlignment="1">
      <alignment horizontal="center"/>
    </xf>
    <xf numFmtId="0" fontId="3" fillId="34" borderId="1" xfId="0" applyFont="1" applyFill="1" applyBorder="1" applyAlignment="1">
      <alignment horizontal="center"/>
    </xf>
    <xf numFmtId="174" fontId="7" fillId="34" borderId="1" xfId="0" applyNumberFormat="1" applyFont="1" applyFill="1" applyBorder="1" applyAlignment="1">
      <alignment horizontal="center"/>
    </xf>
    <xf numFmtId="0" fontId="1" fillId="35" borderId="1" xfId="0" applyFont="1" applyFill="1" applyBorder="1" applyAlignment="1">
      <alignment horizontal="center"/>
    </xf>
    <xf numFmtId="0" fontId="3" fillId="35" borderId="1" xfId="0" applyFont="1" applyFill="1" applyBorder="1" applyAlignment="1">
      <alignment horizontal="center"/>
    </xf>
    <xf numFmtId="174" fontId="7" fillId="35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left" indent="2"/>
    </xf>
    <xf numFmtId="2" fontId="14" fillId="0" borderId="0" xfId="0" applyNumberFormat="1" applyFont="1"/>
    <xf numFmtId="0" fontId="1" fillId="34" borderId="1" xfId="0" applyFont="1" applyFill="1" applyBorder="1"/>
    <xf numFmtId="0" fontId="8" fillId="31" borderId="8" xfId="0" applyFont="1" applyFill="1" applyBorder="1"/>
    <xf numFmtId="0" fontId="27" fillId="36" borderId="8" xfId="0" applyFont="1" applyFill="1" applyBorder="1"/>
    <xf numFmtId="0" fontId="37" fillId="0" borderId="0" xfId="0" applyFont="1"/>
    <xf numFmtId="0" fontId="27" fillId="36" borderId="0" xfId="0" applyFont="1" applyFill="1"/>
    <xf numFmtId="175" fontId="1" fillId="0" borderId="0" xfId="0" applyNumberFormat="1" applyFont="1" applyAlignment="1">
      <alignment horizontal="center"/>
    </xf>
    <xf numFmtId="3" fontId="2" fillId="0" borderId="5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38" fillId="37" borderId="1" xfId="0" applyFont="1" applyFill="1" applyBorder="1" applyAlignment="1">
      <alignment horizontal="center"/>
    </xf>
    <xf numFmtId="0" fontId="38" fillId="37" borderId="1" xfId="0" applyFont="1" applyFill="1" applyBorder="1"/>
    <xf numFmtId="3" fontId="38" fillId="37" borderId="1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174" fontId="1" fillId="0" borderId="0" xfId="0" applyNumberFormat="1" applyFont="1"/>
    <xf numFmtId="174" fontId="39" fillId="0" borderId="0" xfId="0" applyNumberFormat="1" applyFont="1"/>
    <xf numFmtId="165" fontId="1" fillId="0" borderId="0" xfId="0" applyNumberFormat="1" applyFont="1"/>
    <xf numFmtId="176" fontId="1" fillId="0" borderId="0" xfId="0" applyNumberFormat="1" applyFont="1"/>
    <xf numFmtId="3" fontId="16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38" borderId="34" xfId="0" applyFont="1" applyFill="1" applyBorder="1" applyAlignment="1">
      <alignment horizontal="center" wrapText="1"/>
    </xf>
    <xf numFmtId="3" fontId="5" fillId="38" borderId="34" xfId="0" applyNumberFormat="1" applyFont="1" applyFill="1" applyBorder="1" applyAlignment="1">
      <alignment horizontal="center" wrapText="1"/>
    </xf>
    <xf numFmtId="0" fontId="5" fillId="7" borderId="34" xfId="0" applyFont="1" applyFill="1" applyBorder="1" applyAlignment="1">
      <alignment wrapText="1"/>
    </xf>
    <xf numFmtId="3" fontId="5" fillId="7" borderId="34" xfId="0" applyNumberFormat="1" applyFont="1" applyFill="1" applyBorder="1" applyAlignment="1">
      <alignment horizontal="center" wrapText="1"/>
    </xf>
    <xf numFmtId="10" fontId="5" fillId="7" borderId="34" xfId="0" applyNumberFormat="1" applyFont="1" applyFill="1" applyBorder="1" applyAlignment="1">
      <alignment horizontal="center" wrapText="1"/>
    </xf>
    <xf numFmtId="165" fontId="5" fillId="7" borderId="34" xfId="0" applyNumberFormat="1" applyFont="1" applyFill="1" applyBorder="1" applyAlignment="1">
      <alignment horizontal="center" wrapText="1"/>
    </xf>
    <xf numFmtId="14" fontId="5" fillId="7" borderId="34" xfId="0" applyNumberFormat="1" applyFont="1" applyFill="1" applyBorder="1" applyAlignment="1">
      <alignment wrapText="1"/>
    </xf>
    <xf numFmtId="0" fontId="5" fillId="7" borderId="35" xfId="0" applyFont="1" applyFill="1" applyBorder="1" applyAlignment="1">
      <alignment wrapText="1"/>
    </xf>
    <xf numFmtId="3" fontId="5" fillId="7" borderId="35" xfId="0" applyNumberFormat="1" applyFont="1" applyFill="1" applyBorder="1" applyAlignment="1">
      <alignment horizontal="center" wrapText="1"/>
    </xf>
    <xf numFmtId="10" fontId="5" fillId="7" borderId="35" xfId="0" applyNumberFormat="1" applyFont="1" applyFill="1" applyBorder="1" applyAlignment="1">
      <alignment horizontal="center" wrapText="1"/>
    </xf>
    <xf numFmtId="165" fontId="5" fillId="7" borderId="35" xfId="0" applyNumberFormat="1" applyFont="1" applyFill="1" applyBorder="1" applyAlignment="1">
      <alignment horizontal="center" wrapText="1"/>
    </xf>
    <xf numFmtId="14" fontId="5" fillId="7" borderId="35" xfId="0" applyNumberFormat="1" applyFont="1" applyFill="1" applyBorder="1" applyAlignment="1">
      <alignment wrapText="1"/>
    </xf>
    <xf numFmtId="0" fontId="3" fillId="5" borderId="1" xfId="0" applyFont="1" applyFill="1" applyBorder="1"/>
    <xf numFmtId="3" fontId="3" fillId="5" borderId="1" xfId="0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 wrapText="1"/>
    </xf>
    <xf numFmtId="3" fontId="3" fillId="5" borderId="1" xfId="0" applyNumberFormat="1" applyFont="1" applyFill="1" applyBorder="1" applyAlignment="1">
      <alignment horizontal="center" wrapText="1"/>
    </xf>
    <xf numFmtId="165" fontId="3" fillId="5" borderId="1" xfId="0" applyNumberFormat="1" applyFont="1" applyFill="1" applyBorder="1" applyAlignment="1">
      <alignment horizontal="center" wrapText="1"/>
    </xf>
    <xf numFmtId="0" fontId="14" fillId="0" borderId="0" xfId="0" applyFont="1" applyAlignment="1">
      <alignment horizontal="right"/>
    </xf>
    <xf numFmtId="0" fontId="40" fillId="39" borderId="1" xfId="0" applyFont="1" applyFill="1" applyBorder="1" applyAlignment="1">
      <alignment horizontal="center"/>
    </xf>
    <xf numFmtId="0" fontId="40" fillId="39" borderId="1" xfId="0" applyFont="1" applyFill="1" applyBorder="1"/>
    <xf numFmtId="0" fontId="40" fillId="39" borderId="1" xfId="0" applyFont="1" applyFill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176" fontId="1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O314"/>
  <sheetViews>
    <sheetView workbookViewId="0" zoomScale="100" zoomScaleNormal="100">
      <pane xSplit="1" topLeftCell="B1" activePane="topRight" state="frozen"/>
      <selection pane="topRight" activeCell="L305" sqref="L305"/>
    </sheetView>
  </sheetViews>
  <sheetFormatPr defaultRowHeight="12" outlineLevelRow="0" outlineLevelCol="0" x14ac:dyDescent="0.2" defaultColWidth="11.42578125" customHeight="1"/>
  <cols>
    <col min="1" max="1" width="11.42578125" style="1" customWidth="1"/>
    <col min="2" max="2" width="57.140625" style="1" customWidth="1"/>
    <col min="3" max="12" width="9.28515625" style="2" hidden="1" customWidth="1"/>
    <col min="13" max="13" width="9.28515625" style="3" hidden="1" customWidth="1"/>
    <col min="14" max="16" width="9.28515625" style="2" hidden="1" customWidth="1"/>
    <col min="17" max="24" width="9.28515625" style="1" hidden="1" customWidth="1"/>
    <col min="25" max="27" width="9.42578125" style="1" hidden="1" customWidth="1"/>
    <col min="28" max="28" width="16.7109375" style="1" customWidth="1"/>
    <col min="29" max="29" width="11.42578125" style="1" customWidth="1"/>
    <col min="30" max="30" width="14.42578125" style="1" customWidth="1"/>
    <col min="31" max="16384" width="11.42578125" style="1" customWidth="1"/>
  </cols>
  <sheetData>
    <row r="1" spans="2:32" x14ac:dyDescent="0.25">
      <c r="B1" s="4" t="s">
        <v>0</v>
      </c>
      <c r="AF1" s="2" t="s">
        <v>1</v>
      </c>
    </row>
    <row r="2" ht="13.5" customHeight="1" spans="1:32" x14ac:dyDescent="0.25">
      <c r="A2" s="5"/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 t="s">
        <v>3</v>
      </c>
      <c r="AC2" s="8" t="s">
        <v>4</v>
      </c>
      <c r="AD2" s="8" t="s">
        <v>5</v>
      </c>
      <c r="AF2" s="2">
        <v>40.216</v>
      </c>
    </row>
    <row r="3" ht="13.5" customHeight="1" spans="1:30" x14ac:dyDescent="0.25">
      <c r="A3" s="9" t="s">
        <v>6</v>
      </c>
      <c r="B3" s="5" t="s">
        <v>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7" t="s">
        <v>8</v>
      </c>
      <c r="AC3" s="11" t="s">
        <v>9</v>
      </c>
      <c r="AD3" s="11" t="s">
        <v>9</v>
      </c>
    </row>
    <row r="4" spans="1:30" x14ac:dyDescent="0.25">
      <c r="A4" s="12">
        <v>3000</v>
      </c>
      <c r="B4" s="13" t="s">
        <v>10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>
        <f t="shared" ref="AB4:AB30" si="0">SUM(C4:AA4)</f>
        <v>6654.599999999999</v>
      </c>
      <c r="AC4" s="16">
        <f>+VNR!G4</f>
        <v>4.215113668174813</v>
      </c>
      <c r="AD4" s="17">
        <f>-ABS(AB4*AC4)</f>
        <v>-28049.895416236108</v>
      </c>
    </row>
    <row r="5" spans="1:30" x14ac:dyDescent="0.25">
      <c r="A5" s="12">
        <v>3001</v>
      </c>
      <c r="B5" s="13" t="s">
        <v>11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>
        <v>12007.3</v>
      </c>
      <c r="AC5" s="16">
        <f>+VNR!G5</f>
        <v>4.150113668174813</v>
      </c>
      <c r="AD5" s="17">
        <f t="shared" ref="AD5:AD59" si="1">-ABS(AB5*AC5)</f>
        <v>-49831.65984787543</v>
      </c>
    </row>
    <row r="6" spans="1:30" x14ac:dyDescent="0.25">
      <c r="A6" s="12">
        <v>3010</v>
      </c>
      <c r="B6" s="13" t="s">
        <v>12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5">
        <v>2979.8</v>
      </c>
      <c r="AC6" s="18"/>
      <c r="AD6" s="17">
        <f t="shared" si="1"/>
        <v>0</v>
      </c>
    </row>
    <row r="7" spans="1:30" x14ac:dyDescent="0.25">
      <c r="A7" s="12">
        <v>3011</v>
      </c>
      <c r="B7" s="13" t="s">
        <v>13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5">
        <v>64367.7</v>
      </c>
      <c r="AC7" s="16">
        <f>hacienda!O44</f>
        <v>5.879479526094342</v>
      </c>
      <c r="AD7" s="17">
        <v>-378448.5742917828</v>
      </c>
    </row>
    <row r="8" spans="1:30" x14ac:dyDescent="0.25">
      <c r="A8" s="12">
        <v>3911</v>
      </c>
      <c r="B8" s="13" t="s">
        <v>14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5">
        <v>9558.7</v>
      </c>
      <c r="AC8" s="16">
        <v>6.63</v>
      </c>
      <c r="AD8" s="17">
        <v>-63374.181000000004</v>
      </c>
    </row>
    <row r="9" spans="1:30" x14ac:dyDescent="0.25">
      <c r="A9" s="12">
        <v>4000</v>
      </c>
      <c r="B9" s="13" t="s">
        <v>15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5">
        <v>14181.3</v>
      </c>
      <c r="AC9" s="16">
        <f>+VNR!G6</f>
        <v>3.8501136681748123</v>
      </c>
      <c r="AD9" s="17">
        <v>-54599.61696248746</v>
      </c>
    </row>
    <row r="10" spans="1:30" x14ac:dyDescent="0.25">
      <c r="A10" s="12">
        <v>4003</v>
      </c>
      <c r="B10" s="13" t="s">
        <v>16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5">
        <v>1027.2</v>
      </c>
      <c r="AC10" s="18"/>
      <c r="AD10" s="17">
        <f t="shared" si="1"/>
        <v>0</v>
      </c>
    </row>
    <row r="11" spans="1:31" x14ac:dyDescent="0.25">
      <c r="A11" s="12">
        <v>4010</v>
      </c>
      <c r="B11" s="13" t="s">
        <v>17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5">
        <v>20608.600000000002</v>
      </c>
      <c r="AC11" s="16">
        <f>+VNR!G7</f>
        <v>4.550113668174813</v>
      </c>
      <c r="AD11" s="17">
        <v>-93771.47254194746</v>
      </c>
      <c r="AE11" s="19">
        <f>SUM(AD4:AD11)</f>
        <v>-668075.4000603292</v>
      </c>
    </row>
    <row r="12" spans="1:30" x14ac:dyDescent="0.25">
      <c r="A12" s="20">
        <v>4403</v>
      </c>
      <c r="B12" s="21" t="s">
        <v>18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3">
        <v>1425.1699999999998</v>
      </c>
      <c r="AC12" s="24">
        <f>+VNR!G8</f>
        <v>5.248174591125071</v>
      </c>
      <c r="AD12" s="25">
        <v>-7479.540982033717</v>
      </c>
    </row>
    <row r="13" spans="1:30" x14ac:dyDescent="0.25">
      <c r="A13" s="20">
        <v>4404</v>
      </c>
      <c r="B13" s="21" t="s">
        <v>19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3">
        <v>71.89999999999999</v>
      </c>
      <c r="AC13" s="24">
        <v>12.77</v>
      </c>
      <c r="AD13" s="25">
        <v>-918.1629999999999</v>
      </c>
    </row>
    <row r="14" spans="1:30" x14ac:dyDescent="0.25">
      <c r="A14" s="20">
        <v>4407</v>
      </c>
      <c r="B14" s="21" t="s">
        <v>20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3">
        <v>2284.77</v>
      </c>
      <c r="AC14" s="24">
        <f>+VNR!G9</f>
        <v>5.934241271482987</v>
      </c>
      <c r="AD14" s="25">
        <v>-13558.376429846185</v>
      </c>
    </row>
    <row r="15" spans="1:30" x14ac:dyDescent="0.25">
      <c r="A15" s="20">
        <v>4411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3">
        <f t="shared" si="0"/>
        <v>0</v>
      </c>
      <c r="AC15" s="24">
        <f>180/40.18</f>
        <v>4.479840716774515</v>
      </c>
      <c r="AD15" s="25">
        <f t="shared" si="1"/>
        <v>0</v>
      </c>
    </row>
    <row r="16" spans="1:30" x14ac:dyDescent="0.25">
      <c r="A16" s="20">
        <v>4470</v>
      </c>
      <c r="B16" s="21" t="s">
        <v>22</v>
      </c>
      <c r="C16" s="26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3">
        <v>8365.7</v>
      </c>
      <c r="AC16" s="24">
        <f>+AC11</f>
        <v>4.550113668174813</v>
      </c>
      <c r="AD16" s="25">
        <v>-38064.885913850034</v>
      </c>
    </row>
    <row r="17" spans="1:30" x14ac:dyDescent="0.25">
      <c r="A17" s="20">
        <v>4490</v>
      </c>
      <c r="B17" s="21" t="s">
        <v>23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3">
        <f t="shared" si="0"/>
        <v>0</v>
      </c>
      <c r="AC17" s="24">
        <v>3.1</v>
      </c>
      <c r="AD17" s="25">
        <f t="shared" si="1"/>
        <v>0</v>
      </c>
    </row>
    <row r="18" spans="1:30" x14ac:dyDescent="0.25">
      <c r="A18" s="20">
        <v>4503</v>
      </c>
      <c r="B18" s="21" t="s">
        <v>18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3">
        <v>2139.9300000000003</v>
      </c>
      <c r="AC18" s="24">
        <f>+AC12</f>
        <v>5.248174591125071</v>
      </c>
      <c r="AD18" s="25">
        <v>-11230.726252786275</v>
      </c>
    </row>
    <row r="19" spans="1:30" x14ac:dyDescent="0.25">
      <c r="A19" s="20">
        <v>4514</v>
      </c>
      <c r="B19" s="21" t="s">
        <v>24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>
        <v>376.53</v>
      </c>
      <c r="AC19" s="24">
        <f>125.28/40.48</f>
        <v>3.0948616600790517</v>
      </c>
      <c r="AD19" s="25">
        <v>-1165.3082608695652</v>
      </c>
    </row>
    <row r="20" spans="1:30" x14ac:dyDescent="0.25">
      <c r="A20" s="20">
        <v>4516</v>
      </c>
      <c r="B20" s="21" t="s">
        <v>25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3">
        <v>988.6100000000001</v>
      </c>
      <c r="AC20" s="24">
        <f>238.6/40.48</f>
        <v>5.894268774703558</v>
      </c>
      <c r="AD20" s="25">
        <v>-5827.133053359685</v>
      </c>
    </row>
    <row r="21" ht="11.25" customHeight="1" spans="1:30" x14ac:dyDescent="0.25">
      <c r="A21" s="20">
        <v>4543</v>
      </c>
      <c r="B21" s="21" t="s">
        <v>26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3">
        <v>453.84000000000003</v>
      </c>
      <c r="AC21" s="24">
        <v>1.71</v>
      </c>
      <c r="AD21" s="25">
        <v>-776.0664</v>
      </c>
    </row>
    <row r="22" ht="11.25" customHeight="1" spans="1:30" x14ac:dyDescent="0.25">
      <c r="A22" s="20">
        <v>4607</v>
      </c>
      <c r="B22" s="21" t="s">
        <v>27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3">
        <v>2163.6400000000003</v>
      </c>
      <c r="AC22" s="24">
        <f>+AC14</f>
        <v>5.934241271482987</v>
      </c>
      <c r="AD22" s="25">
        <v>-12839.561784631453</v>
      </c>
    </row>
    <row r="23" spans="1:30" x14ac:dyDescent="0.25">
      <c r="A23" s="20">
        <v>9407</v>
      </c>
      <c r="B23" s="21" t="s">
        <v>28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3">
        <f t="shared" si="0"/>
        <v>0</v>
      </c>
      <c r="AC23" s="24">
        <f>+AC14</f>
        <v>5.934241271482987</v>
      </c>
      <c r="AD23" s="25">
        <f t="shared" si="1"/>
        <v>0</v>
      </c>
    </row>
    <row r="24" spans="1:30" x14ac:dyDescent="0.25">
      <c r="A24" s="20">
        <v>9408</v>
      </c>
      <c r="B24" s="21" t="s">
        <v>29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3">
        <v>48</v>
      </c>
      <c r="AC24" s="24">
        <v>4.5</v>
      </c>
      <c r="AD24" s="25">
        <v>-216</v>
      </c>
    </row>
    <row r="25" spans="1:30" x14ac:dyDescent="0.25">
      <c r="A25" s="20">
        <v>9490</v>
      </c>
      <c r="B25" s="21" t="s">
        <v>30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3">
        <v>144</v>
      </c>
      <c r="AC25" s="24">
        <v>4.84</v>
      </c>
      <c r="AD25" s="25">
        <v>-696.96</v>
      </c>
    </row>
    <row r="26" spans="1:30" x14ac:dyDescent="0.25">
      <c r="A26" s="20">
        <v>9607</v>
      </c>
      <c r="B26" s="21" t="s">
        <v>20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3">
        <f t="shared" si="0"/>
        <v>0</v>
      </c>
      <c r="AC26" s="24">
        <f>+AC23</f>
        <v>5.934241271482987</v>
      </c>
      <c r="AD26" s="25">
        <f t="shared" si="1"/>
        <v>0</v>
      </c>
    </row>
    <row r="27" spans="1:30" x14ac:dyDescent="0.25">
      <c r="A27" s="20">
        <v>437016</v>
      </c>
      <c r="B27" s="21" t="s">
        <v>31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3">
        <f t="shared" si="0"/>
        <v>0</v>
      </c>
      <c r="AC27" s="24">
        <f>1105/1.1391184/40.3</f>
        <v>24.07068030742869</v>
      </c>
      <c r="AD27" s="25">
        <f t="shared" si="1"/>
        <v>0</v>
      </c>
    </row>
    <row r="28" hidden="1" spans="1:30" x14ac:dyDescent="0.25">
      <c r="A28" s="20">
        <v>438031</v>
      </c>
      <c r="B28" s="21" t="s">
        <v>32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3">
        <f t="shared" si="0"/>
        <v>0</v>
      </c>
      <c r="AC28" s="24">
        <f>+VNR!G15</f>
        <v>23.83651497365832</v>
      </c>
      <c r="AD28" s="25">
        <f t="shared" si="1"/>
        <v>0</v>
      </c>
    </row>
    <row r="29" spans="1:30" x14ac:dyDescent="0.25">
      <c r="A29" s="20">
        <v>438037</v>
      </c>
      <c r="B29" s="27" t="s">
        <v>33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3">
        <f t="shared" si="0"/>
        <v>0</v>
      </c>
      <c r="AC29" s="24">
        <f>595/1.1391184/40.3</f>
        <v>12.96113555015391</v>
      </c>
      <c r="AD29" s="25">
        <f t="shared" si="1"/>
        <v>0</v>
      </c>
    </row>
    <row r="30" hidden="1" spans="1:30" x14ac:dyDescent="0.25">
      <c r="A30" s="20">
        <v>438124</v>
      </c>
      <c r="B30" s="21" t="s">
        <v>34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3">
        <f t="shared" si="0"/>
        <v>0</v>
      </c>
      <c r="AC30" s="24">
        <v>12.7</v>
      </c>
      <c r="AD30" s="25">
        <f t="shared" si="1"/>
        <v>0</v>
      </c>
    </row>
    <row r="31" spans="1:30" x14ac:dyDescent="0.25">
      <c r="A31" s="20">
        <v>439010</v>
      </c>
      <c r="B31" s="27" t="s">
        <v>35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3">
        <f t="shared" ref="AB31:AB96" si="2">SUM(C31:AA31)</f>
        <v>0</v>
      </c>
      <c r="AC31" s="24">
        <v>12.802</v>
      </c>
      <c r="AD31" s="25">
        <f t="shared" si="1"/>
        <v>0</v>
      </c>
    </row>
    <row r="32" spans="1:30" x14ac:dyDescent="0.25">
      <c r="A32" s="20">
        <v>439016</v>
      </c>
      <c r="B32" s="27" t="s">
        <v>36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3">
        <f t="shared" si="2"/>
        <v>0</v>
      </c>
      <c r="AC32" s="24">
        <v>28.789</v>
      </c>
      <c r="AD32" s="25">
        <f t="shared" si="1"/>
        <v>0</v>
      </c>
    </row>
    <row r="33" spans="1:30" x14ac:dyDescent="0.25">
      <c r="A33" s="20">
        <v>439070</v>
      </c>
      <c r="B33" s="21" t="s">
        <v>22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3">
        <f t="shared" si="2"/>
        <v>0</v>
      </c>
      <c r="AC33" s="28">
        <f>+AC13</f>
        <v>12.77</v>
      </c>
      <c r="AD33" s="25">
        <f t="shared" si="1"/>
        <v>0</v>
      </c>
    </row>
    <row r="34" spans="1:30" x14ac:dyDescent="0.25">
      <c r="A34" s="20">
        <v>439130</v>
      </c>
      <c r="B34" s="21" t="s">
        <v>37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3">
        <f t="shared" si="2"/>
        <v>0</v>
      </c>
      <c r="AC34" s="24">
        <f>1055/1.1391184/40.3</f>
        <v>22.981509252793906</v>
      </c>
      <c r="AD34" s="25">
        <f t="shared" si="1"/>
        <v>0</v>
      </c>
    </row>
    <row r="35" spans="1:30" x14ac:dyDescent="0.25">
      <c r="A35" s="20">
        <v>439909</v>
      </c>
      <c r="B35" s="21" t="s">
        <v>38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3">
        <f t="shared" si="2"/>
        <v>0</v>
      </c>
      <c r="AC35" s="24">
        <v>8</v>
      </c>
      <c r="AD35" s="25">
        <f t="shared" si="1"/>
        <v>0</v>
      </c>
    </row>
    <row r="36" spans="1:30" x14ac:dyDescent="0.25">
      <c r="A36" s="20">
        <v>442070</v>
      </c>
      <c r="B36" s="21" t="s">
        <v>39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3">
        <f t="shared" si="2"/>
        <v>0</v>
      </c>
      <c r="AC36" s="24">
        <f>720/1.1391184/40.3</f>
        <v>15.684063186740866</v>
      </c>
      <c r="AD36" s="25">
        <f t="shared" si="1"/>
        <v>0</v>
      </c>
    </row>
    <row r="37" spans="1:30" x14ac:dyDescent="0.25">
      <c r="A37" s="20">
        <v>980006</v>
      </c>
      <c r="B37" s="21" t="s">
        <v>40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3">
        <v>657.9099999999999</v>
      </c>
      <c r="AC37" s="24">
        <v>7.4</v>
      </c>
      <c r="AD37" s="25">
        <v>-4868.533999999999</v>
      </c>
    </row>
    <row r="38" spans="1:30" x14ac:dyDescent="0.25">
      <c r="A38" s="20">
        <v>980011</v>
      </c>
      <c r="B38" s="21" t="s">
        <v>41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9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3">
        <v>66.68</v>
      </c>
      <c r="AC38" s="24">
        <f>+AC32</f>
        <v>28.789</v>
      </c>
      <c r="AD38" s="25">
        <v>-1919.6505200000004</v>
      </c>
    </row>
    <row r="39" spans="1:30" x14ac:dyDescent="0.25">
      <c r="A39" s="20">
        <v>980012</v>
      </c>
      <c r="B39" s="21" t="s">
        <v>42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9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3">
        <f t="shared" si="2"/>
        <v>0</v>
      </c>
      <c r="AC39" s="24">
        <v>5.7</v>
      </c>
      <c r="AD39" s="25">
        <f t="shared" si="1"/>
        <v>0</v>
      </c>
    </row>
    <row r="40" spans="1:30" x14ac:dyDescent="0.25">
      <c r="A40" s="20">
        <v>980016</v>
      </c>
      <c r="B40" s="21" t="s">
        <v>43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3">
        <v>83.97</v>
      </c>
      <c r="AC40" s="24">
        <f>392/1.1391184/40.48</f>
        <v>8.501130757262073</v>
      </c>
      <c r="AD40" s="25">
        <v>-713.8399496872963</v>
      </c>
    </row>
    <row r="41" spans="1:30" x14ac:dyDescent="0.25">
      <c r="A41" s="20">
        <v>980024</v>
      </c>
      <c r="B41" s="21" t="s">
        <v>44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3">
        <v>1864.8400000000001</v>
      </c>
      <c r="AC41" s="24">
        <f>681/1.1391184/40.48</f>
        <v>14.768546034937431</v>
      </c>
      <c r="AD41" s="25">
        <v>-27540.97538779272</v>
      </c>
    </row>
    <row r="42" spans="1:30" x14ac:dyDescent="0.25">
      <c r="A42" s="20">
        <v>980025</v>
      </c>
      <c r="B42" s="21" t="s">
        <v>45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3">
        <f t="shared" si="2"/>
        <v>0</v>
      </c>
      <c r="AC42" s="24">
        <v>15</v>
      </c>
      <c r="AD42" s="25">
        <f t="shared" si="1"/>
        <v>0</v>
      </c>
    </row>
    <row r="43" spans="1:30" x14ac:dyDescent="0.25">
      <c r="A43" s="20">
        <v>980026</v>
      </c>
      <c r="B43" s="21" t="s">
        <v>46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3">
        <v>9.7</v>
      </c>
      <c r="AC43" s="24">
        <v>6.5</v>
      </c>
      <c r="AD43" s="25">
        <v>-63.05</v>
      </c>
    </row>
    <row r="44" spans="1:30" x14ac:dyDescent="0.25">
      <c r="A44" s="20">
        <v>980028</v>
      </c>
      <c r="B44" s="21" t="s">
        <v>47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3">
        <f t="shared" si="2"/>
        <v>0</v>
      </c>
      <c r="AC44" s="24">
        <v>6.5</v>
      </c>
      <c r="AD44" s="25">
        <f t="shared" si="1"/>
        <v>0</v>
      </c>
    </row>
    <row r="45" spans="1:30" x14ac:dyDescent="0.25">
      <c r="A45" s="20">
        <v>980030</v>
      </c>
      <c r="B45" s="21" t="s">
        <v>48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30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3">
        <v>40.269999999999996</v>
      </c>
      <c r="AC45" s="24">
        <v>22.53</v>
      </c>
      <c r="AD45" s="25">
        <v>-907.2831</v>
      </c>
    </row>
    <row r="46" spans="1:30" x14ac:dyDescent="0.25">
      <c r="A46" s="20">
        <v>980031</v>
      </c>
      <c r="B46" s="21" t="s">
        <v>49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3">
        <v>34.760000000000005</v>
      </c>
      <c r="AC46" s="24">
        <v>13.9</v>
      </c>
      <c r="AD46" s="25">
        <v>-483.1640000000001</v>
      </c>
    </row>
    <row r="47" spans="1:30" x14ac:dyDescent="0.25">
      <c r="A47" s="20">
        <v>980032</v>
      </c>
      <c r="B47" s="21" t="s">
        <v>50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3">
        <v>469.55</v>
      </c>
      <c r="AC47" s="24">
        <v>12</v>
      </c>
      <c r="AD47" s="25">
        <v>-5634.6</v>
      </c>
    </row>
    <row r="48" spans="1:30" x14ac:dyDescent="0.25">
      <c r="A48" s="20">
        <v>980033</v>
      </c>
      <c r="B48" s="21" t="s">
        <v>51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3">
        <v>102.82000000000001</v>
      </c>
      <c r="AC48" s="24">
        <v>10.5</v>
      </c>
      <c r="AD48" s="25">
        <v>-1079.6100000000001</v>
      </c>
    </row>
    <row r="49" spans="1:30" x14ac:dyDescent="0.25">
      <c r="A49" s="20">
        <v>980035</v>
      </c>
      <c r="B49" s="21" t="s">
        <v>52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3">
        <v>925.3900000000001</v>
      </c>
      <c r="AC49" s="24">
        <v>5.5</v>
      </c>
      <c r="AD49" s="25">
        <v>-5089.645</v>
      </c>
    </row>
    <row r="50" spans="1:30" x14ac:dyDescent="0.25">
      <c r="A50" s="20">
        <v>980039</v>
      </c>
      <c r="B50" s="21" t="s">
        <v>53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3">
        <v>613.8100000000001</v>
      </c>
      <c r="AC50" s="24">
        <f>+AC9</f>
        <v>3.8501136681748123</v>
      </c>
      <c r="AD50" s="25">
        <v>-2363.2382706623816</v>
      </c>
    </row>
    <row r="51" spans="1:30" x14ac:dyDescent="0.25">
      <c r="A51" s="20">
        <v>980041</v>
      </c>
      <c r="B51" s="21" t="s">
        <v>54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3">
        <f t="shared" si="2"/>
        <v>0</v>
      </c>
      <c r="AC51" s="24">
        <v>5.5</v>
      </c>
      <c r="AD51" s="25">
        <f t="shared" si="1"/>
        <v>0</v>
      </c>
    </row>
    <row r="52" spans="1:30" x14ac:dyDescent="0.25">
      <c r="A52" s="20">
        <v>980060</v>
      </c>
      <c r="B52" s="21" t="s">
        <v>55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3">
        <v>11497.96</v>
      </c>
      <c r="AC52" s="24">
        <f>AVERAGE(AC4:AC7)</f>
        <v>4.748235620814657</v>
      </c>
      <c r="AD52" s="25">
        <v>-54595.02323870209</v>
      </c>
    </row>
    <row r="53" spans="1:30" x14ac:dyDescent="0.25">
      <c r="A53" s="20">
        <v>980070</v>
      </c>
      <c r="B53" s="21" t="s">
        <v>56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3">
        <v>1980.14</v>
      </c>
      <c r="AC53" s="24">
        <f>+AC33</f>
        <v>12.77</v>
      </c>
      <c r="AD53" s="25">
        <v>-25286.3878</v>
      </c>
    </row>
    <row r="54" spans="1:30" x14ac:dyDescent="0.25">
      <c r="A54" s="20">
        <v>980090</v>
      </c>
      <c r="B54" s="21" t="s">
        <v>57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3">
        <v>3965.27</v>
      </c>
      <c r="AC54" s="24">
        <v>5.5</v>
      </c>
      <c r="AD54" s="25">
        <v>-21808.985</v>
      </c>
    </row>
    <row r="55" spans="1:30" x14ac:dyDescent="0.25">
      <c r="A55" s="20">
        <v>980091</v>
      </c>
      <c r="B55" s="21" t="s">
        <v>58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3">
        <v>599.31</v>
      </c>
      <c r="AC55" s="24">
        <v>5.5</v>
      </c>
      <c r="AD55" s="25">
        <v>-3296.205</v>
      </c>
    </row>
    <row r="56" spans="1:30" x14ac:dyDescent="0.25">
      <c r="A56" s="20">
        <v>980099</v>
      </c>
      <c r="B56" s="21" t="s">
        <v>59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3">
        <v>499.52</v>
      </c>
      <c r="AC56" s="24"/>
      <c r="AD56" s="25">
        <f t="shared" si="1"/>
        <v>0</v>
      </c>
    </row>
    <row r="57" spans="1:30" x14ac:dyDescent="0.25">
      <c r="A57" s="20">
        <v>981035</v>
      </c>
      <c r="B57" s="21" t="s">
        <v>60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3">
        <f t="shared" si="2"/>
        <v>0</v>
      </c>
      <c r="AC57" s="24">
        <v>5.5</v>
      </c>
      <c r="AD57" s="25">
        <f t="shared" si="1"/>
        <v>0</v>
      </c>
    </row>
    <row r="58" hidden="1" spans="1:30" x14ac:dyDescent="0.25">
      <c r="A58" s="20">
        <v>991420</v>
      </c>
      <c r="B58" s="21" t="s">
        <v>61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3">
        <f t="shared" si="2"/>
        <v>0</v>
      </c>
      <c r="AC58" s="24"/>
      <c r="AD58" s="25">
        <f t="shared" si="1"/>
        <v>0</v>
      </c>
    </row>
    <row r="59" spans="1:30" x14ac:dyDescent="0.25">
      <c r="A59" s="20">
        <v>998040</v>
      </c>
      <c r="B59" s="21" t="s">
        <v>62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3">
        <f t="shared" si="2"/>
        <v>0</v>
      </c>
      <c r="AC59" s="28">
        <v>1.37</v>
      </c>
      <c r="AD59" s="25">
        <f t="shared" si="1"/>
        <v>0</v>
      </c>
    </row>
    <row r="60" spans="1:30" x14ac:dyDescent="0.25">
      <c r="A60" s="20">
        <v>998140</v>
      </c>
      <c r="B60" s="21" t="s">
        <v>63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3">
        <f t="shared" si="2"/>
        <v>0</v>
      </c>
      <c r="AC60" s="28">
        <f>+AC59</f>
        <v>1.37</v>
      </c>
      <c r="AD60" s="25">
        <f t="shared" ref="AD60:AD123" si="3">-ABS(AB60*AC60)</f>
        <v>0</v>
      </c>
    </row>
    <row r="61" spans="1:30" x14ac:dyDescent="0.25">
      <c r="A61" s="20">
        <v>1987134</v>
      </c>
      <c r="B61" s="21" t="s">
        <v>64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3">
        <f t="shared" si="2"/>
        <v>0</v>
      </c>
      <c r="AC61" s="28">
        <v>7.1</v>
      </c>
      <c r="AD61" s="25">
        <f t="shared" si="3"/>
        <v>0</v>
      </c>
    </row>
    <row r="62" spans="1:30" x14ac:dyDescent="0.25">
      <c r="A62" s="20">
        <v>1987420</v>
      </c>
      <c r="B62" s="21" t="s">
        <v>65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3">
        <f t="shared" si="2"/>
        <v>0</v>
      </c>
      <c r="AC62" s="24">
        <v>7.1</v>
      </c>
      <c r="AD62" s="25">
        <f t="shared" si="3"/>
        <v>0</v>
      </c>
    </row>
    <row r="63" spans="1:30" x14ac:dyDescent="0.25">
      <c r="A63" s="20">
        <v>1987421</v>
      </c>
      <c r="B63" s="21" t="s">
        <v>66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3">
        <f t="shared" si="2"/>
        <v>0</v>
      </c>
      <c r="AC63" s="24">
        <v>7.1</v>
      </c>
      <c r="AD63" s="25">
        <f t="shared" si="3"/>
        <v>0</v>
      </c>
    </row>
    <row r="64" spans="1:30" x14ac:dyDescent="0.25">
      <c r="A64" s="20">
        <v>1987434</v>
      </c>
      <c r="B64" s="21" t="s">
        <v>67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3">
        <f t="shared" si="2"/>
        <v>0</v>
      </c>
      <c r="AC64" s="24">
        <v>7.1</v>
      </c>
      <c r="AD64" s="25">
        <f t="shared" si="3"/>
        <v>0</v>
      </c>
    </row>
    <row r="65" spans="1:30" x14ac:dyDescent="0.25">
      <c r="A65" s="20">
        <v>2000008</v>
      </c>
      <c r="B65" s="21" t="s">
        <v>68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3">
        <v>166.25</v>
      </c>
      <c r="AC65" s="24">
        <v>4.5</v>
      </c>
      <c r="AD65" s="25">
        <v>-748.125</v>
      </c>
    </row>
    <row r="66" spans="1:30" x14ac:dyDescent="0.25">
      <c r="A66" s="20">
        <v>2000012</v>
      </c>
      <c r="B66" s="21" t="s">
        <v>69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3">
        <v>23.22</v>
      </c>
      <c r="AC66" s="24">
        <v>5.5</v>
      </c>
      <c r="AD66" s="25">
        <v>-127.71</v>
      </c>
    </row>
    <row r="67" spans="1:30" x14ac:dyDescent="0.25">
      <c r="A67" s="20">
        <v>2000013</v>
      </c>
      <c r="B67" s="21" t="s">
        <v>70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3">
        <v>57.89</v>
      </c>
      <c r="AC67" s="24">
        <f>392/1.1391184/40.48</f>
        <v>8.501130757262073</v>
      </c>
      <c r="AD67" s="25">
        <v>-492.13045953790146</v>
      </c>
    </row>
    <row r="68" spans="1:30" x14ac:dyDescent="0.25">
      <c r="A68" s="20">
        <v>2000023</v>
      </c>
      <c r="B68" s="21" t="s">
        <v>71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3">
        <v>1160.13</v>
      </c>
      <c r="AC68" s="24">
        <v>8.1</v>
      </c>
      <c r="AD68" s="25">
        <v>-9397.053</v>
      </c>
    </row>
    <row r="69" spans="1:30" x14ac:dyDescent="0.25">
      <c r="A69" s="20">
        <v>2000024</v>
      </c>
      <c r="B69" s="21" t="s">
        <v>72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3">
        <v>4989.900000000001</v>
      </c>
      <c r="AC69" s="31">
        <v>8.6</v>
      </c>
      <c r="AD69" s="25">
        <v>-42913.14</v>
      </c>
    </row>
    <row r="70" spans="1:30" x14ac:dyDescent="0.25">
      <c r="A70" s="20">
        <v>2000025</v>
      </c>
      <c r="B70" s="21" t="s">
        <v>73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3">
        <f t="shared" si="2"/>
        <v>0</v>
      </c>
      <c r="AC70" s="31">
        <v>14</v>
      </c>
      <c r="AD70" s="25">
        <f t="shared" si="3"/>
        <v>0</v>
      </c>
    </row>
    <row r="71" spans="1:30" x14ac:dyDescent="0.25">
      <c r="A71" s="20">
        <v>2000027</v>
      </c>
      <c r="B71" s="21" t="s">
        <v>74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3">
        <v>190.62</v>
      </c>
      <c r="AC71" s="24">
        <v>6.5</v>
      </c>
      <c r="AD71" s="25">
        <v>-1239.03</v>
      </c>
    </row>
    <row r="72" spans="1:30" x14ac:dyDescent="0.25">
      <c r="A72" s="20">
        <v>2000028</v>
      </c>
      <c r="B72" s="21" t="s">
        <v>75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3">
        <v>875.4</v>
      </c>
      <c r="AC72" s="31">
        <v>6.5</v>
      </c>
      <c r="AD72" s="25">
        <v>-5690.099999999999</v>
      </c>
    </row>
    <row r="73" spans="1:30" x14ac:dyDescent="0.25">
      <c r="A73" s="20">
        <v>2000030</v>
      </c>
      <c r="B73" s="21" t="s">
        <v>76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3">
        <v>116.26</v>
      </c>
      <c r="AC73" s="24">
        <v>19</v>
      </c>
      <c r="AD73" s="25">
        <v>-2208.94</v>
      </c>
    </row>
    <row r="74" spans="1:30" x14ac:dyDescent="0.25">
      <c r="A74" s="20">
        <v>2000032</v>
      </c>
      <c r="B74" s="21" t="s">
        <v>77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9"/>
      <c r="W74" s="22"/>
      <c r="X74" s="22"/>
      <c r="Y74" s="22"/>
      <c r="Z74" s="22"/>
      <c r="AA74" s="22"/>
      <c r="AB74" s="23">
        <v>56.04</v>
      </c>
      <c r="AC74" s="28">
        <v>5.5</v>
      </c>
      <c r="AD74" s="25">
        <v>-308.21999999999997</v>
      </c>
    </row>
    <row r="75" spans="1:30" x14ac:dyDescent="0.25">
      <c r="A75" s="20">
        <v>2000033</v>
      </c>
      <c r="B75" s="21" t="s">
        <v>78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3">
        <v>1821.93</v>
      </c>
      <c r="AC75" s="24">
        <v>11.5</v>
      </c>
      <c r="AD75" s="25">
        <v>-20952.195</v>
      </c>
    </row>
    <row r="76" spans="1:30" x14ac:dyDescent="0.25">
      <c r="A76" s="20">
        <v>2000035</v>
      </c>
      <c r="B76" s="21" t="s">
        <v>79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3">
        <v>16.89</v>
      </c>
      <c r="AC76" s="24">
        <v>4.5</v>
      </c>
      <c r="AD76" s="25">
        <v>-76.005</v>
      </c>
    </row>
    <row r="77" spans="1:30" x14ac:dyDescent="0.25">
      <c r="A77" s="20">
        <v>2000034</v>
      </c>
      <c r="B77" s="21" t="s">
        <v>80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3">
        <f t="shared" si="2"/>
        <v>0</v>
      </c>
      <c r="AC77" s="24">
        <v>7.1</v>
      </c>
      <c r="AD77" s="25">
        <f t="shared" si="3"/>
        <v>0</v>
      </c>
    </row>
    <row r="78" spans="1:30" x14ac:dyDescent="0.25">
      <c r="A78" s="20">
        <v>2000037</v>
      </c>
      <c r="B78" s="21" t="s">
        <v>81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3">
        <f t="shared" si="2"/>
        <v>0</v>
      </c>
      <c r="AC78" s="24">
        <v>14.791</v>
      </c>
      <c r="AD78" s="25">
        <f t="shared" si="3"/>
        <v>0</v>
      </c>
    </row>
    <row r="79" spans="1:30" x14ac:dyDescent="0.25">
      <c r="A79" s="20">
        <v>2000041</v>
      </c>
      <c r="B79" s="21" t="s">
        <v>82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3">
        <v>912.6999999999999</v>
      </c>
      <c r="AC79" s="24">
        <v>5.5</v>
      </c>
      <c r="AD79" s="25">
        <v>-5019.849999999999</v>
      </c>
    </row>
    <row r="80" spans="1:30" x14ac:dyDescent="0.25">
      <c r="A80" s="20">
        <v>2000060</v>
      </c>
      <c r="B80" s="21" t="s">
        <v>83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3">
        <v>24.95</v>
      </c>
      <c r="AC80" s="24">
        <v>5.5</v>
      </c>
      <c r="AD80" s="25">
        <v>-137.225</v>
      </c>
    </row>
    <row r="81" spans="1:30" x14ac:dyDescent="0.25">
      <c r="A81" s="20">
        <v>2000071</v>
      </c>
      <c r="B81" s="21" t="s">
        <v>84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3">
        <v>1958.5199999999995</v>
      </c>
      <c r="AC81" s="24">
        <v>10</v>
      </c>
      <c r="AD81" s="25">
        <v>-19585.199999999997</v>
      </c>
    </row>
    <row r="82" spans="1:30" x14ac:dyDescent="0.25">
      <c r="A82" s="20">
        <v>2000123</v>
      </c>
      <c r="B82" s="21" t="s">
        <v>85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3">
        <f t="shared" si="2"/>
        <v>0</v>
      </c>
      <c r="AC82" s="24">
        <v>4.5</v>
      </c>
      <c r="AD82" s="25">
        <f t="shared" si="3"/>
        <v>0</v>
      </c>
    </row>
    <row r="83" spans="1:30" x14ac:dyDescent="0.25">
      <c r="A83" s="20">
        <v>2000132</v>
      </c>
      <c r="B83" s="21" t="s">
        <v>86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3">
        <v>5250.42</v>
      </c>
      <c r="AC83" s="24">
        <v>14</v>
      </c>
      <c r="AD83" s="25">
        <v>-73505.88</v>
      </c>
    </row>
    <row r="84" spans="1:30" x14ac:dyDescent="0.25">
      <c r="A84" s="20">
        <v>2000135</v>
      </c>
      <c r="B84" s="21" t="s">
        <v>87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3">
        <v>2499.1</v>
      </c>
      <c r="AC84" s="24">
        <v>5.5</v>
      </c>
      <c r="AD84" s="25">
        <v>-13745.05</v>
      </c>
    </row>
    <row r="85" spans="1:30" x14ac:dyDescent="0.25">
      <c r="A85" s="20">
        <v>2000216</v>
      </c>
      <c r="B85" s="21" t="s">
        <v>88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3">
        <v>974.4</v>
      </c>
      <c r="AC85" s="31">
        <v>14.9</v>
      </c>
      <c r="AD85" s="25">
        <v>-14518.56</v>
      </c>
    </row>
    <row r="86" spans="1:30" x14ac:dyDescent="0.25">
      <c r="A86" s="20">
        <v>2000231</v>
      </c>
      <c r="B86" s="21" t="s">
        <v>89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3">
        <v>296.59</v>
      </c>
      <c r="AC86" s="24">
        <v>12.8</v>
      </c>
      <c r="AD86" s="25">
        <v>-3796.352</v>
      </c>
    </row>
    <row r="87" spans="1:30" x14ac:dyDescent="0.25">
      <c r="A87" s="20">
        <v>2000506</v>
      </c>
      <c r="B87" s="21" t="s">
        <v>90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3">
        <v>6486.76</v>
      </c>
      <c r="AC87" s="24">
        <v>7.4</v>
      </c>
      <c r="AD87" s="25">
        <v>-48002.024000000005</v>
      </c>
    </row>
    <row r="88" spans="1:30" x14ac:dyDescent="0.25">
      <c r="A88" s="20">
        <v>2000531</v>
      </c>
      <c r="B88" s="21" t="s">
        <v>91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3">
        <f t="shared" si="2"/>
        <v>0</v>
      </c>
      <c r="AC88" s="24">
        <v>5.5</v>
      </c>
      <c r="AD88" s="25">
        <f t="shared" si="3"/>
        <v>0</v>
      </c>
    </row>
    <row r="89" spans="1:30" x14ac:dyDescent="0.25">
      <c r="A89" s="20">
        <v>2000593</v>
      </c>
      <c r="B89" s="21" t="s">
        <v>92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3">
        <v>24.28</v>
      </c>
      <c r="AC89" s="24">
        <v>4.5</v>
      </c>
      <c r="AD89" s="25">
        <v>-109.26</v>
      </c>
    </row>
    <row r="90" spans="1:93" x14ac:dyDescent="0.25">
      <c r="A90" s="20">
        <v>2000909</v>
      </c>
      <c r="B90" s="21" t="s">
        <v>93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3">
        <v>71.14</v>
      </c>
      <c r="AC90" s="28">
        <v>8</v>
      </c>
      <c r="AD90" s="25">
        <v>-569.12</v>
      </c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</row>
    <row r="91" spans="1:93" x14ac:dyDescent="0.25">
      <c r="A91" s="20">
        <v>2838229</v>
      </c>
      <c r="B91" s="21" t="s">
        <v>94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3">
        <f t="shared" si="2"/>
        <v>0</v>
      </c>
      <c r="AC91" s="24">
        <v>11.62</v>
      </c>
      <c r="AD91" s="25">
        <f t="shared" si="3"/>
        <v>0</v>
      </c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</row>
    <row r="92" spans="1:93" x14ac:dyDescent="0.25">
      <c r="A92" s="20">
        <v>4313016</v>
      </c>
      <c r="B92" s="21" t="s">
        <v>95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3"/>
      <c r="AC92" s="24"/>
      <c r="AD92" s="25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</row>
    <row r="93" spans="1:93" x14ac:dyDescent="0.25">
      <c r="A93" s="20">
        <v>4314116</v>
      </c>
      <c r="B93" s="21" t="s">
        <v>96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3">
        <f t="shared" si="2"/>
        <v>0</v>
      </c>
      <c r="AC93" s="33"/>
      <c r="AD93" s="25">
        <f t="shared" si="3"/>
        <v>0</v>
      </c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</row>
    <row r="94" spans="1:93" x14ac:dyDescent="0.25">
      <c r="A94" s="20">
        <v>4315116</v>
      </c>
      <c r="B94" s="21" t="s">
        <v>97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3">
        <f t="shared" si="2"/>
        <v>0</v>
      </c>
      <c r="AC94" s="33"/>
      <c r="AD94" s="25">
        <f t="shared" si="3"/>
        <v>0</v>
      </c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</row>
    <row r="95" spans="1:93" x14ac:dyDescent="0.25">
      <c r="A95" s="20">
        <v>5595013</v>
      </c>
      <c r="B95" s="21" t="s">
        <v>98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30"/>
      <c r="W95" s="22"/>
      <c r="X95" s="22"/>
      <c r="Y95" s="22"/>
      <c r="Z95" s="22"/>
      <c r="AA95" s="22"/>
      <c r="AB95" s="23">
        <f t="shared" si="2"/>
        <v>0</v>
      </c>
      <c r="AC95" s="33"/>
      <c r="AD95" s="25">
        <f t="shared" si="3"/>
        <v>0</v>
      </c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</row>
    <row r="96" spans="1:93" x14ac:dyDescent="0.25">
      <c r="A96" s="20">
        <v>5595016</v>
      </c>
      <c r="B96" s="21" t="s">
        <v>99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3">
        <f t="shared" si="2"/>
        <v>0</v>
      </c>
      <c r="AC96" s="28">
        <v>34.5</v>
      </c>
      <c r="AD96" s="25">
        <f t="shared" si="3"/>
        <v>0</v>
      </c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</row>
    <row r="97" spans="1:93" x14ac:dyDescent="0.25">
      <c r="A97" s="20">
        <v>5596016</v>
      </c>
      <c r="B97" s="21" t="s">
        <v>100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3">
        <f t="shared" ref="AB97:AB130" si="4">SUM(C97:AA97)</f>
        <v>0</v>
      </c>
      <c r="AC97" s="28">
        <f>678.57/40.48</f>
        <v>16.763092885375496</v>
      </c>
      <c r="AD97" s="25">
        <f t="shared" si="3"/>
        <v>0</v>
      </c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</row>
    <row r="98" spans="1:93" x14ac:dyDescent="0.25">
      <c r="A98" s="20">
        <v>5596031</v>
      </c>
      <c r="B98" s="21" t="s">
        <v>101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3">
        <f t="shared" si="4"/>
        <v>0</v>
      </c>
      <c r="AC98" s="24">
        <v>42.35</v>
      </c>
      <c r="AD98" s="25">
        <f t="shared" si="3"/>
        <v>0</v>
      </c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</row>
    <row r="99" spans="1:93" x14ac:dyDescent="0.25">
      <c r="A99" s="20">
        <v>6173036</v>
      </c>
      <c r="B99" s="21" t="s">
        <v>102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3">
        <f t="shared" si="4"/>
        <v>0</v>
      </c>
      <c r="AC99" s="24">
        <v>7.5</v>
      </c>
      <c r="AD99" s="25">
        <f t="shared" si="3"/>
        <v>0</v>
      </c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</row>
    <row r="100" spans="1:93" x14ac:dyDescent="0.25">
      <c r="A100" s="20">
        <v>16018990</v>
      </c>
      <c r="B100" s="21" t="s">
        <v>103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3">
        <f t="shared" si="4"/>
        <v>0</v>
      </c>
      <c r="AC100" s="33"/>
      <c r="AD100" s="25">
        <f t="shared" si="3"/>
        <v>0</v>
      </c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</row>
    <row r="101" spans="1:93" x14ac:dyDescent="0.25">
      <c r="A101" s="20">
        <v>16101790</v>
      </c>
      <c r="B101" s="21" t="s">
        <v>104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3">
        <f t="shared" si="4"/>
        <v>0</v>
      </c>
      <c r="AC101" s="24">
        <f>-VNR!G113</f>
        <v>0</v>
      </c>
      <c r="AD101" s="25">
        <f t="shared" si="3"/>
        <v>0</v>
      </c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</row>
    <row r="102" spans="1:93" x14ac:dyDescent="0.25">
      <c r="A102" s="20">
        <v>16103290</v>
      </c>
      <c r="B102" s="21" t="s">
        <v>105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3">
        <f t="shared" si="4"/>
        <v>0</v>
      </c>
      <c r="AC102" s="24">
        <f>-VNR!G114</f>
        <v>0</v>
      </c>
      <c r="AD102" s="25">
        <f t="shared" si="3"/>
        <v>0</v>
      </c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</row>
    <row r="103" spans="1:93" x14ac:dyDescent="0.25">
      <c r="A103" s="20">
        <v>16105240</v>
      </c>
      <c r="B103" s="21" t="s">
        <v>106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3">
        <f t="shared" si="4"/>
        <v>0</v>
      </c>
      <c r="AC103" s="24">
        <f>-VNR!G115</f>
        <v>0</v>
      </c>
      <c r="AD103" s="25">
        <f t="shared" si="3"/>
        <v>0</v>
      </c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</row>
    <row r="104" spans="1:93" x14ac:dyDescent="0.25">
      <c r="A104" s="20">
        <v>16601910</v>
      </c>
      <c r="B104" s="21" t="s">
        <v>107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3">
        <f t="shared" si="4"/>
        <v>0</v>
      </c>
      <c r="AC104" s="24">
        <f>-VNR!G116</f>
        <v>0</v>
      </c>
      <c r="AD104" s="25">
        <f t="shared" si="3"/>
        <v>0</v>
      </c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</row>
    <row r="105" spans="1:93" x14ac:dyDescent="0.25">
      <c r="A105" s="20">
        <v>17001910</v>
      </c>
      <c r="B105" s="21" t="s">
        <v>108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3">
        <f t="shared" si="4"/>
        <v>0</v>
      </c>
      <c r="AC105" s="24">
        <f>-VNR!G117</f>
        <v>0</v>
      </c>
      <c r="AD105" s="25">
        <f t="shared" si="3"/>
        <v>0</v>
      </c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</row>
    <row r="106" spans="1:93" x14ac:dyDescent="0.25">
      <c r="A106" s="20">
        <v>17071910</v>
      </c>
      <c r="B106" s="21" t="s">
        <v>109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3">
        <f t="shared" si="4"/>
        <v>0</v>
      </c>
      <c r="AC106" s="24">
        <f>-VNR!G118</f>
        <v>0</v>
      </c>
      <c r="AD106" s="25">
        <f t="shared" si="3"/>
        <v>0</v>
      </c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</row>
    <row r="107" spans="1:93" x14ac:dyDescent="0.25">
      <c r="A107" s="20">
        <v>18001510</v>
      </c>
      <c r="B107" s="21" t="s">
        <v>110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3">
        <f t="shared" si="4"/>
        <v>0</v>
      </c>
      <c r="AC107" s="24">
        <f>-VNR!G105</f>
        <v>0</v>
      </c>
      <c r="AD107" s="25">
        <f t="shared" si="3"/>
        <v>0</v>
      </c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</row>
    <row r="108" spans="1:93" x14ac:dyDescent="0.25">
      <c r="A108" s="20">
        <v>18001511</v>
      </c>
      <c r="B108" s="21" t="s">
        <v>111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3">
        <f t="shared" si="4"/>
        <v>0</v>
      </c>
      <c r="AC108" s="24">
        <f>-VNR!G106</f>
        <v>0</v>
      </c>
      <c r="AD108" s="25">
        <f t="shared" si="3"/>
        <v>0</v>
      </c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</row>
    <row r="109" spans="1:93" x14ac:dyDescent="0.25">
      <c r="A109" s="20">
        <v>18001830</v>
      </c>
      <c r="B109" s="21" t="s">
        <v>112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3">
        <f t="shared" si="4"/>
        <v>0</v>
      </c>
      <c r="AC109" s="24">
        <f>-VNR!G105</f>
        <v>0</v>
      </c>
      <c r="AD109" s="25">
        <f t="shared" si="3"/>
        <v>0</v>
      </c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</row>
    <row r="110" spans="1:93" x14ac:dyDescent="0.25">
      <c r="A110" s="20">
        <v>4313025</v>
      </c>
      <c r="B110" s="21" t="s">
        <v>113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3">
        <v>2204.2200000000003</v>
      </c>
      <c r="AC110" s="24"/>
      <c r="AD110" s="25">
        <f t="shared" si="3"/>
        <v>0</v>
      </c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</row>
    <row r="111" spans="1:93" x14ac:dyDescent="0.25">
      <c r="A111" s="20">
        <v>16011790</v>
      </c>
      <c r="B111" s="21" t="s">
        <v>114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3">
        <v>266.44</v>
      </c>
      <c r="AC111" s="24"/>
      <c r="AD111" s="25">
        <f t="shared" si="3"/>
        <v>0</v>
      </c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</row>
    <row r="112" spans="1:93" x14ac:dyDescent="0.25">
      <c r="A112" s="20">
        <v>16015240</v>
      </c>
      <c r="B112" s="21" t="s">
        <v>115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3"/>
      <c r="AC112" s="24"/>
      <c r="AD112" s="25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</row>
    <row r="113" spans="1:93" x14ac:dyDescent="0.25">
      <c r="A113" s="20">
        <v>16018990</v>
      </c>
      <c r="B113" s="21" t="s">
        <v>116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3">
        <v>7780.3099999999995</v>
      </c>
      <c r="AC113" s="24">
        <v>10.89</v>
      </c>
      <c r="AD113" s="25">
        <v>-84727.5759</v>
      </c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</row>
    <row r="114" spans="1:93" x14ac:dyDescent="0.25">
      <c r="A114" s="20">
        <v>16108990</v>
      </c>
      <c r="B114" s="21" t="s">
        <v>117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3"/>
      <c r="AC114" s="24"/>
      <c r="AD114" s="25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</row>
    <row r="115" spans="1:93" x14ac:dyDescent="0.25">
      <c r="A115" s="20">
        <v>17078990</v>
      </c>
      <c r="B115" s="21" t="s">
        <v>118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3">
        <v>12539.12</v>
      </c>
      <c r="AC115" s="24"/>
      <c r="AD115" s="25">
        <f t="shared" si="3"/>
        <v>0</v>
      </c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</row>
    <row r="116" spans="1:93" x14ac:dyDescent="0.25">
      <c r="A116" s="20">
        <v>21765230</v>
      </c>
      <c r="B116" s="21" t="s">
        <v>119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3">
        <f t="shared" si="4"/>
        <v>0</v>
      </c>
      <c r="AC116" s="24">
        <v>10</v>
      </c>
      <c r="AD116" s="25">
        <f t="shared" si="3"/>
        <v>0</v>
      </c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</row>
    <row r="117" spans="1:93" x14ac:dyDescent="0.25">
      <c r="A117" s="20">
        <v>21769820</v>
      </c>
      <c r="B117" s="21" t="s">
        <v>120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3">
        <v>11701.92</v>
      </c>
      <c r="AC117" s="24">
        <v>10</v>
      </c>
      <c r="AD117" s="25">
        <v>-117019.2</v>
      </c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</row>
    <row r="118" spans="1:93" x14ac:dyDescent="0.25">
      <c r="A118" s="20">
        <v>22409820</v>
      </c>
      <c r="B118" s="21" t="s">
        <v>121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3">
        <v>6128.01</v>
      </c>
      <c r="AC118" s="24">
        <f>508.92/40.3</f>
        <v>12.628287841191069</v>
      </c>
      <c r="AD118" s="25">
        <v>-77386.27417369728</v>
      </c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</row>
    <row r="119" spans="1:93" x14ac:dyDescent="0.25">
      <c r="A119" s="20">
        <v>22409920</v>
      </c>
      <c r="B119" s="21" t="s">
        <v>122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3">
        <f t="shared" si="4"/>
        <v>0</v>
      </c>
      <c r="AC119" s="24">
        <v>12.72</v>
      </c>
      <c r="AD119" s="25">
        <f t="shared" si="3"/>
        <v>0</v>
      </c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</row>
    <row r="120" spans="1:93" x14ac:dyDescent="0.25">
      <c r="A120" s="20">
        <v>25199830</v>
      </c>
      <c r="B120" s="21" t="s">
        <v>123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3">
        <v>22.34</v>
      </c>
      <c r="AC120" s="24">
        <v>2.8</v>
      </c>
      <c r="AD120" s="25">
        <v>-62.55199999999999</v>
      </c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</row>
    <row r="121" spans="1:93" x14ac:dyDescent="0.25">
      <c r="A121" s="20">
        <v>25749820</v>
      </c>
      <c r="B121" s="21" t="s">
        <v>124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3">
        <v>1953.05</v>
      </c>
      <c r="AC121" s="24">
        <f>571.42/40.48</f>
        <v>14.11610671936759</v>
      </c>
      <c r="AD121" s="25">
        <v>-27569.46222826087</v>
      </c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</row>
    <row r="122" spans="1:93" x14ac:dyDescent="0.25">
      <c r="A122" s="20">
        <v>26559820</v>
      </c>
      <c r="B122" s="21" t="s">
        <v>125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3">
        <v>19.33</v>
      </c>
      <c r="AC122" s="24">
        <v>7.2</v>
      </c>
      <c r="AD122" s="25">
        <v>-139.176</v>
      </c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</row>
    <row r="123" spans="1:93" x14ac:dyDescent="0.25">
      <c r="A123" s="20">
        <v>30709110</v>
      </c>
      <c r="B123" s="21" t="s">
        <v>126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3">
        <v>1160.6</v>
      </c>
      <c r="AC123" s="24">
        <f>307.14/40.3</f>
        <v>7.621339950372208</v>
      </c>
      <c r="AD123" s="25">
        <v>-8845.327146401984</v>
      </c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</row>
    <row r="124" spans="1:93" x14ac:dyDescent="0.25">
      <c r="A124" s="20"/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3"/>
      <c r="AC124" s="24"/>
      <c r="AD124" s="25">
        <f t="shared" ref="AD124:AD130" si="5">-ABS(AB124*AC124)</f>
        <v>0</v>
      </c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</row>
    <row r="125" ht="15" customHeight="1" spans="1:93" x14ac:dyDescent="0.25">
      <c r="A125" s="34"/>
      <c r="B125" s="35" t="s">
        <v>127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3"/>
      <c r="AC125" s="24"/>
      <c r="AD125" s="25">
        <f t="shared" si="5"/>
        <v>0</v>
      </c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</row>
    <row r="126" spans="1:93" x14ac:dyDescent="0.25">
      <c r="A126" s="34">
        <v>9408</v>
      </c>
      <c r="B126" s="36" t="s">
        <v>128</v>
      </c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>
        <v>24</v>
      </c>
      <c r="AC126" s="37"/>
      <c r="AD126" s="37">
        <f t="shared" si="5"/>
        <v>0</v>
      </c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</row>
    <row r="127" spans="1:93" x14ac:dyDescent="0.25">
      <c r="A127" s="34">
        <v>9490</v>
      </c>
      <c r="B127" s="36" t="s">
        <v>129</v>
      </c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>
        <v>48</v>
      </c>
      <c r="AC127" s="37"/>
      <c r="AD127" s="37">
        <f t="shared" si="5"/>
        <v>0</v>
      </c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</row>
    <row r="128" spans="1:93" x14ac:dyDescent="0.25">
      <c r="A128" s="34">
        <v>981035</v>
      </c>
      <c r="B128" s="36" t="s">
        <v>130</v>
      </c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>
        <v>18.17</v>
      </c>
      <c r="AC128" s="37"/>
      <c r="AD128" s="37">
        <f t="shared" si="5"/>
        <v>0</v>
      </c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</row>
    <row r="129" spans="1:93" x14ac:dyDescent="0.25">
      <c r="A129" s="34">
        <v>2000035</v>
      </c>
      <c r="B129" s="36" t="s">
        <v>131</v>
      </c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>
        <v>38.69</v>
      </c>
      <c r="AC129" s="37"/>
      <c r="AD129" s="37">
        <f t="shared" si="5"/>
        <v>0</v>
      </c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</row>
    <row r="130" spans="1:93" x14ac:dyDescent="0.25">
      <c r="A130" s="34">
        <v>2000060</v>
      </c>
      <c r="B130" s="36" t="s">
        <v>132</v>
      </c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>
        <v>667.05</v>
      </c>
      <c r="AC130" s="37"/>
      <c r="AD130" s="37">
        <f t="shared" si="5"/>
        <v>0</v>
      </c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</row>
    <row r="131" spans="1:30" x14ac:dyDescent="0.25">
      <c r="A131" s="38"/>
      <c r="B131" s="38" t="s">
        <v>133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9">
        <f t="shared" ref="AB131" si="6">SUM(C131:AA131)</f>
        <v>251020.55</v>
      </c>
      <c r="AC131" s="38"/>
      <c r="AD131" s="25">
        <f>SUM(AD4:AD123)</f>
        <v>-1495389.0503124483</v>
      </c>
    </row>
    <row r="132" ht="13.5" customHeight="1" spans="1:31" x14ac:dyDescent="0.25">
      <c r="A132" s="40"/>
      <c r="B132" s="40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2"/>
      <c r="AD132" s="42"/>
      <c r="AE132" s="42"/>
    </row>
    <row r="133" ht="13.5" customHeight="1" spans="1:31" x14ac:dyDescent="0.25">
      <c r="A133" s="11" t="s">
        <v>6</v>
      </c>
      <c r="B133" s="43" t="s">
        <v>7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7" t="s">
        <v>3</v>
      </c>
      <c r="AC133" s="8" t="s">
        <v>4</v>
      </c>
      <c r="AD133" s="8" t="s">
        <v>5</v>
      </c>
      <c r="AE133" s="8" t="s">
        <v>134</v>
      </c>
    </row>
    <row r="134" ht="13.5" customHeight="1" spans="1:31" x14ac:dyDescent="0.25">
      <c r="A134" s="43"/>
      <c r="B134" s="43" t="s">
        <v>135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44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7" t="s">
        <v>8</v>
      </c>
      <c r="AC134" s="11" t="s">
        <v>9</v>
      </c>
      <c r="AD134" s="11" t="s">
        <v>9</v>
      </c>
      <c r="AE134" s="11" t="s">
        <v>9</v>
      </c>
    </row>
    <row r="135" spans="1:32" x14ac:dyDescent="0.25">
      <c r="A135" s="20">
        <v>5</v>
      </c>
      <c r="B135" s="21" t="s">
        <v>136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3">
        <f t="shared" ref="AB135:AB202" si="7">SUM(C135:AA135)</f>
        <v>1078.84</v>
      </c>
      <c r="AC135" s="45">
        <v>0.2</v>
      </c>
      <c r="AD135" s="25">
        <f>AB135*AC135</f>
        <v>215.768</v>
      </c>
      <c r="AE135" s="25"/>
      <c r="AF135" s="46"/>
    </row>
    <row r="136" spans="1:31" x14ac:dyDescent="0.25">
      <c r="A136" s="20">
        <v>50</v>
      </c>
      <c r="B136" s="21" t="s">
        <v>137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3">
        <v>830.09</v>
      </c>
      <c r="AC136" s="28">
        <v>0.4</v>
      </c>
      <c r="AD136" s="25">
        <f t="shared" ref="AD136:AD183" si="8">AB136*AC136</f>
        <v>332.03600000000006</v>
      </c>
      <c r="AE136" s="47"/>
    </row>
    <row r="137" spans="1:32" x14ac:dyDescent="0.25">
      <c r="A137" s="20">
        <v>96</v>
      </c>
      <c r="B137" s="21" t="s">
        <v>138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3">
        <v>413</v>
      </c>
      <c r="AC137" s="45">
        <v>3.1</v>
      </c>
      <c r="AD137" s="25">
        <v>1280.3</v>
      </c>
      <c r="AE137" s="25"/>
      <c r="AF137" s="46"/>
    </row>
    <row r="138" spans="1:32" x14ac:dyDescent="0.25">
      <c r="A138" s="20">
        <v>96</v>
      </c>
      <c r="B138" s="21" t="s">
        <v>139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3">
        <v>37.39</v>
      </c>
      <c r="AC138" s="45"/>
      <c r="AD138" s="25">
        <f t="shared" si="8"/>
        <v>0</v>
      </c>
      <c r="AE138" s="25"/>
      <c r="AF138" s="46"/>
    </row>
    <row r="139" spans="1:33" x14ac:dyDescent="0.25">
      <c r="A139" s="20">
        <v>13390</v>
      </c>
      <c r="B139" s="21" t="s">
        <v>140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3">
        <v>1523.76</v>
      </c>
      <c r="AC139" s="45">
        <v>5.5</v>
      </c>
      <c r="AD139" s="25">
        <v>8380.68</v>
      </c>
      <c r="AE139" s="48">
        <f>-envases!$BL$19*AB139</f>
        <v>-80.77102405932409</v>
      </c>
      <c r="AF139" s="46">
        <f>AD139*0.03</f>
        <v>251.4204</v>
      </c>
      <c r="AG139" s="49">
        <f>-AD139*0.015</f>
        <v>-125.7102</v>
      </c>
    </row>
    <row r="140" spans="1:32" x14ac:dyDescent="0.25">
      <c r="A140" s="20">
        <v>436035</v>
      </c>
      <c r="B140" s="21" t="s">
        <v>141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3">
        <v>179.37</v>
      </c>
      <c r="AC140" s="45">
        <v>6.84</v>
      </c>
      <c r="AD140" s="25">
        <v>1226.8908</v>
      </c>
      <c r="AE140" s="48">
        <f>-envases!N36*AB140</f>
        <v>-25.774297099518986</v>
      </c>
      <c r="AF140" s="46"/>
    </row>
    <row r="141" spans="1:31" x14ac:dyDescent="0.25">
      <c r="A141" s="20">
        <v>436051</v>
      </c>
      <c r="B141" s="21" t="s">
        <v>142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3">
        <v>39.3</v>
      </c>
      <c r="AC141" s="24">
        <v>10</v>
      </c>
      <c r="AD141" s="25">
        <v>393</v>
      </c>
      <c r="AE141" s="48">
        <f>-envases!$N$53*AB141</f>
        <v>-10.434468217546772</v>
      </c>
    </row>
    <row r="142" spans="1:31" x14ac:dyDescent="0.25">
      <c r="A142" s="20">
        <v>436516</v>
      </c>
      <c r="B142" s="21" t="s">
        <v>143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3">
        <f t="shared" si="7"/>
        <v>0</v>
      </c>
      <c r="AC142" s="28">
        <f>735/1.1391184/40.3</f>
        <v>16.0108145031313</v>
      </c>
      <c r="AD142" s="25">
        <f t="shared" si="8"/>
        <v>0</v>
      </c>
      <c r="AE142" s="48">
        <f>-envases!$N$291*AB142</f>
        <v>0</v>
      </c>
    </row>
    <row r="143" spans="1:31" x14ac:dyDescent="0.25">
      <c r="A143" s="20">
        <v>436623</v>
      </c>
      <c r="B143" s="21" t="s">
        <v>144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3">
        <v>1146.1100000000001</v>
      </c>
      <c r="AC143" s="28">
        <v>9.42</v>
      </c>
      <c r="AD143" s="25">
        <v>10796.356200000002</v>
      </c>
      <c r="AE143" s="48">
        <f>-envases!$N$342*AB143</f>
        <v>-199.78432420237854</v>
      </c>
    </row>
    <row r="144" spans="1:31" x14ac:dyDescent="0.25">
      <c r="A144" s="20">
        <v>436732</v>
      </c>
      <c r="B144" s="21" t="s">
        <v>145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3">
        <f t="shared" si="7"/>
        <v>0</v>
      </c>
      <c r="AC144" s="28">
        <v>7</v>
      </c>
      <c r="AD144" s="25">
        <f t="shared" si="8"/>
        <v>0</v>
      </c>
      <c r="AE144" s="48">
        <f>-envases!$N$410*AB144</f>
        <v>0</v>
      </c>
    </row>
    <row r="145" spans="1:31" x14ac:dyDescent="0.25">
      <c r="A145" s="20">
        <v>436799</v>
      </c>
      <c r="B145" s="21" t="s">
        <v>146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3">
        <v>27.79</v>
      </c>
      <c r="AC145" s="28">
        <v>7.28</v>
      </c>
      <c r="AD145" s="25">
        <v>202.3112</v>
      </c>
      <c r="AE145" s="48">
        <f>-envases!$N$461*AB145</f>
        <v>-8.727893680045154</v>
      </c>
    </row>
    <row r="146" spans="1:31" x14ac:dyDescent="0.25">
      <c r="A146" s="20">
        <v>436928</v>
      </c>
      <c r="B146" s="21" t="s">
        <v>147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3">
        <f t="shared" si="7"/>
        <v>0</v>
      </c>
      <c r="AC146" s="28">
        <v>10.28</v>
      </c>
      <c r="AD146" s="25">
        <f t="shared" si="8"/>
        <v>0</v>
      </c>
      <c r="AE146" s="48">
        <f>-envases!$N$512*AB146</f>
        <v>0</v>
      </c>
    </row>
    <row r="147" spans="1:32" x14ac:dyDescent="0.25">
      <c r="A147" s="20">
        <v>437060</v>
      </c>
      <c r="B147" s="21" t="s">
        <v>148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3">
        <v>4200.12</v>
      </c>
      <c r="AC147" s="50">
        <v>11.7</v>
      </c>
      <c r="AD147" s="25">
        <v>49141.403999999995</v>
      </c>
      <c r="AE147" s="48">
        <f>-envases!$I$121*AB147</f>
        <v>-1271.5105543713369</v>
      </c>
      <c r="AF147" s="46"/>
    </row>
    <row r="148" spans="1:32" x14ac:dyDescent="0.25">
      <c r="A148" s="20">
        <v>437660</v>
      </c>
      <c r="B148" s="21" t="s">
        <v>149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3">
        <v>95.19</v>
      </c>
      <c r="AC148" s="50">
        <v>10.87</v>
      </c>
      <c r="AD148" s="25">
        <v>1034.7152999999998</v>
      </c>
      <c r="AE148" s="48">
        <f>-envases!$I$189*AB148</f>
        <v>-31.920430318414876</v>
      </c>
      <c r="AF148" s="46"/>
    </row>
    <row r="149" spans="1:31" x14ac:dyDescent="0.25">
      <c r="A149" s="20">
        <v>438036</v>
      </c>
      <c r="B149" s="21" t="s">
        <v>150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3">
        <f t="shared" si="7"/>
        <v>0</v>
      </c>
      <c r="AC149" s="28">
        <v>6.58</v>
      </c>
      <c r="AD149" s="25">
        <f t="shared" si="8"/>
        <v>0</v>
      </c>
      <c r="AE149" s="48">
        <f>-envases!$D$534*AB149</f>
        <v>0</v>
      </c>
    </row>
    <row r="150" spans="1:31" x14ac:dyDescent="0.25">
      <c r="A150" s="20">
        <v>438037</v>
      </c>
      <c r="B150" s="21" t="s">
        <v>151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3">
        <v>21.55</v>
      </c>
      <c r="AC150" s="28">
        <v>12.94</v>
      </c>
      <c r="AD150" s="25">
        <v>278.85699999999997</v>
      </c>
      <c r="AE150" s="48">
        <f>-envases!$D$514*AB150</f>
        <v>-10.4890069454406</v>
      </c>
    </row>
    <row r="151" spans="1:32" x14ac:dyDescent="0.25">
      <c r="A151" s="20">
        <v>438160</v>
      </c>
      <c r="B151" s="21" t="s">
        <v>152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3">
        <f t="shared" si="7"/>
        <v>0</v>
      </c>
      <c r="AC151" s="50">
        <v>14.64</v>
      </c>
      <c r="AD151" s="25">
        <f t="shared" si="8"/>
        <v>0</v>
      </c>
      <c r="AE151" s="48">
        <f>-envases!$D$416*AB151</f>
        <v>0</v>
      </c>
      <c r="AF151" s="46"/>
    </row>
    <row r="152" spans="1:31" x14ac:dyDescent="0.25">
      <c r="A152" s="20">
        <v>438170</v>
      </c>
      <c r="B152" s="21" t="s">
        <v>153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3">
        <f t="shared" si="7"/>
        <v>0</v>
      </c>
      <c r="AC152" s="28">
        <f>890/1.1391184/40.3</f>
        <v>19.387244772499123</v>
      </c>
      <c r="AD152" s="25">
        <f t="shared" si="8"/>
        <v>0</v>
      </c>
      <c r="AE152" s="51">
        <f>-envases!D232*AB152</f>
        <v>0</v>
      </c>
    </row>
    <row r="153" spans="1:32" x14ac:dyDescent="0.25">
      <c r="A153" s="20">
        <v>438260</v>
      </c>
      <c r="B153" s="21" t="s">
        <v>154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3">
        <f t="shared" si="7"/>
        <v>0</v>
      </c>
      <c r="AC153" s="50">
        <v>15.03</v>
      </c>
      <c r="AD153" s="25">
        <f t="shared" si="8"/>
        <v>0</v>
      </c>
      <c r="AE153" s="48">
        <f>-envases!$D$552*AB153</f>
        <v>0</v>
      </c>
      <c r="AF153" s="46"/>
    </row>
    <row r="154" spans="1:31" x14ac:dyDescent="0.25">
      <c r="A154" s="20">
        <v>438311</v>
      </c>
      <c r="B154" s="21" t="s">
        <v>155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3">
        <f t="shared" si="7"/>
        <v>0</v>
      </c>
      <c r="AC154" s="28">
        <f>250/1.12784/40.3</f>
        <v>5.500313825905652</v>
      </c>
      <c r="AD154" s="25">
        <f t="shared" si="8"/>
        <v>0</v>
      </c>
      <c r="AE154" s="51">
        <f>-envases!D572*AB154</f>
        <v>0</v>
      </c>
    </row>
    <row r="155" spans="1:31" x14ac:dyDescent="0.25">
      <c r="A155" s="20">
        <v>438360</v>
      </c>
      <c r="B155" s="21" t="s">
        <v>156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3">
        <v>934.2899999999998</v>
      </c>
      <c r="AC155" s="28">
        <v>13.58</v>
      </c>
      <c r="AD155" s="25">
        <v>12687.658199999998</v>
      </c>
      <c r="AE155" s="48">
        <f>-envases!$D$435*AB155</f>
        <v>-700.4653223826541</v>
      </c>
    </row>
    <row r="156" spans="1:32" x14ac:dyDescent="0.25">
      <c r="A156" s="20">
        <v>438414</v>
      </c>
      <c r="B156" s="21" t="s">
        <v>24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3">
        <v>388.3</v>
      </c>
      <c r="AC156" s="50">
        <v>5.5</v>
      </c>
      <c r="AD156" s="25">
        <v>2135.65</v>
      </c>
      <c r="AE156" s="48">
        <f>-envases!$D$377*AB156</f>
        <v>-228.4743363868618</v>
      </c>
      <c r="AF156" s="46"/>
    </row>
    <row r="157" spans="1:31" x14ac:dyDescent="0.25">
      <c r="A157" s="20">
        <v>438443</v>
      </c>
      <c r="B157" s="21" t="s">
        <v>157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3">
        <v>442.78</v>
      </c>
      <c r="AC157" s="28">
        <v>5.27</v>
      </c>
      <c r="AD157" s="25">
        <v>2333.4505999999997</v>
      </c>
      <c r="AE157" s="48">
        <f>-envases!$D$397*AB157</f>
        <v>-242.8176402884221</v>
      </c>
    </row>
    <row r="158" spans="1:31" x14ac:dyDescent="0.25">
      <c r="A158" s="20">
        <v>438460</v>
      </c>
      <c r="B158" s="21" t="s">
        <v>158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3">
        <v>1456.31</v>
      </c>
      <c r="AC158" s="28">
        <v>15.54</v>
      </c>
      <c r="AD158" s="25">
        <v>22631.057399999998</v>
      </c>
      <c r="AE158" s="48">
        <f>-envases!$D$474*AB158</f>
        <v>-881.8473165064557</v>
      </c>
    </row>
    <row r="159" spans="1:32" x14ac:dyDescent="0.25">
      <c r="A159" s="20">
        <v>438560</v>
      </c>
      <c r="B159" s="21" t="s">
        <v>159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3">
        <v>1177.4999999999998</v>
      </c>
      <c r="AC159" s="50">
        <v>14.55</v>
      </c>
      <c r="AD159" s="25">
        <v>17132.624999999996</v>
      </c>
      <c r="AE159" s="48">
        <f>-envases!$D$454*AB159</f>
        <v>-737.6575141882138</v>
      </c>
      <c r="AF159" s="46"/>
    </row>
    <row r="160" spans="1:32" x14ac:dyDescent="0.25">
      <c r="A160" s="20">
        <v>438799</v>
      </c>
      <c r="B160" s="21" t="s">
        <v>160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3">
        <v>1016.0800000000002</v>
      </c>
      <c r="AC160" s="50">
        <v>13.39</v>
      </c>
      <c r="AD160" s="25">
        <v>13605.311200000002</v>
      </c>
      <c r="AE160" s="48">
        <f>-envases!$D$357*AB160</f>
        <v>-787.0496778053651</v>
      </c>
      <c r="AF160" s="46"/>
    </row>
    <row r="161" spans="1:31" x14ac:dyDescent="0.25">
      <c r="A161" s="20">
        <v>439010</v>
      </c>
      <c r="B161" s="21" t="s">
        <v>161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3">
        <v>1044.07</v>
      </c>
      <c r="AC161" s="28">
        <v>11.45</v>
      </c>
      <c r="AD161" s="25">
        <v>11954.601499999999</v>
      </c>
      <c r="AE161" s="48">
        <f>-envases!$D$22*AB161</f>
        <v>-416.9414984571092</v>
      </c>
    </row>
    <row r="162" spans="1:31" x14ac:dyDescent="0.25">
      <c r="A162" s="20">
        <v>439011</v>
      </c>
      <c r="B162" s="21" t="s">
        <v>162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3">
        <v>983.26</v>
      </c>
      <c r="AC162" s="28">
        <v>13.25</v>
      </c>
      <c r="AD162" s="25">
        <v>13028.195</v>
      </c>
      <c r="AE162" s="48">
        <f>-envases!$D$43*AB162</f>
        <v>-446.100237153762</v>
      </c>
    </row>
    <row r="163" spans="1:31" x14ac:dyDescent="0.25">
      <c r="A163" s="20">
        <v>439016</v>
      </c>
      <c r="B163" s="21" t="s">
        <v>163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3">
        <v>927.16</v>
      </c>
      <c r="AC163" s="28">
        <v>25.75</v>
      </c>
      <c r="AD163" s="25">
        <v>23874.37</v>
      </c>
      <c r="AE163" s="48">
        <f>-envases!$D$64*AB163</f>
        <v>-516.486619138908</v>
      </c>
    </row>
    <row r="164" spans="1:31" x14ac:dyDescent="0.25">
      <c r="A164" s="20">
        <v>439024</v>
      </c>
      <c r="B164" s="21" t="s">
        <v>72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3">
        <v>3786.4399999999996</v>
      </c>
      <c r="AC164" s="28">
        <v>13.02</v>
      </c>
      <c r="AD164" s="25">
        <v>49299.44879999999</v>
      </c>
      <c r="AE164" s="48">
        <f>-envases!$D$85*AB164</f>
        <v>-1733.2392134307906</v>
      </c>
    </row>
    <row r="165" spans="1:31" x14ac:dyDescent="0.25">
      <c r="A165" s="20">
        <v>439025</v>
      </c>
      <c r="B165" s="21" t="s">
        <v>164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3">
        <v>6.08</v>
      </c>
      <c r="AC165" s="28">
        <v>17.14</v>
      </c>
      <c r="AD165" s="25">
        <v>104.2112</v>
      </c>
      <c r="AE165" s="48">
        <f>-envases!$D$106*AB165</f>
        <v>-3.038944948628016</v>
      </c>
    </row>
    <row r="166" spans="1:31" x14ac:dyDescent="0.25">
      <c r="A166" s="20">
        <v>439028</v>
      </c>
      <c r="B166" s="21" t="s">
        <v>165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3">
        <v>763.0000000000001</v>
      </c>
      <c r="AC166" s="28">
        <v>8.47</v>
      </c>
      <c r="AD166" s="25">
        <v>6462.6100000000015</v>
      </c>
      <c r="AE166" s="48">
        <f>-envases!$D$127*AB166</f>
        <v>-282.4839972971946</v>
      </c>
    </row>
    <row r="167" spans="1:31" x14ac:dyDescent="0.25">
      <c r="A167" s="20">
        <v>439031</v>
      </c>
      <c r="B167" s="21" t="s">
        <v>166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3">
        <v>245.12999999999997</v>
      </c>
      <c r="AC167" s="28">
        <v>19.23</v>
      </c>
      <c r="AD167" s="25">
        <v>4713.849899999999</v>
      </c>
      <c r="AE167" s="48">
        <f>-envases!$D$148*AB167</f>
        <v>-161.11812090922152</v>
      </c>
    </row>
    <row r="168" spans="1:31" x14ac:dyDescent="0.25">
      <c r="A168" s="20">
        <v>439033</v>
      </c>
      <c r="B168" s="21" t="s">
        <v>78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3">
        <v>1857.85</v>
      </c>
      <c r="AC168" s="28">
        <v>15.85</v>
      </c>
      <c r="AD168" s="25">
        <v>29446.922499999997</v>
      </c>
      <c r="AE168" s="48">
        <f>-envases!$D$169*AB168</f>
        <v>-1164.3730387520668</v>
      </c>
    </row>
    <row r="169" spans="1:31" x14ac:dyDescent="0.25">
      <c r="A169" s="20">
        <v>439035</v>
      </c>
      <c r="B169" s="21" t="s">
        <v>167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3">
        <v>554.62</v>
      </c>
      <c r="AC169" s="28">
        <v>6.6</v>
      </c>
      <c r="AD169" s="25">
        <v>3660.4919999999997</v>
      </c>
      <c r="AE169" s="48">
        <f>-envases!$D$190*AB169</f>
        <v>-208.17462241463426</v>
      </c>
    </row>
    <row r="170" spans="1:31" x14ac:dyDescent="0.25">
      <c r="A170" s="20">
        <v>439041</v>
      </c>
      <c r="B170" s="21" t="s">
        <v>168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3">
        <v>911.3699999999999</v>
      </c>
      <c r="AC170" s="28">
        <v>11.06</v>
      </c>
      <c r="AD170" s="25">
        <v>10079.752199999999</v>
      </c>
      <c r="AE170" s="48">
        <f>-envases!$D$211*AB170</f>
        <v>-610.3229671084005</v>
      </c>
    </row>
    <row r="171" spans="1:31" x14ac:dyDescent="0.25">
      <c r="A171" s="20">
        <v>439070</v>
      </c>
      <c r="B171" s="21" t="s">
        <v>22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3">
        <v>7994.799999999999</v>
      </c>
      <c r="AC171" s="28">
        <v>19.6</v>
      </c>
      <c r="AD171" s="25">
        <v>156698.08</v>
      </c>
      <c r="AE171" s="48">
        <f>-envases!$D$232*AB171</f>
        <v>-3189.230422596203</v>
      </c>
    </row>
    <row r="172" spans="1:31" x14ac:dyDescent="0.25">
      <c r="A172" s="20">
        <v>439071</v>
      </c>
      <c r="B172" s="21" t="s">
        <v>169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3">
        <v>541.65</v>
      </c>
      <c r="AC172" s="28">
        <v>14.74</v>
      </c>
      <c r="AD172" s="25">
        <v>7983.920999999999</v>
      </c>
      <c r="AE172" s="48">
        <f>-envases!$D$253*AB172</f>
        <v>-234.0014735630208</v>
      </c>
    </row>
    <row r="173" spans="1:31" x14ac:dyDescent="0.25">
      <c r="A173" s="20">
        <v>439130</v>
      </c>
      <c r="B173" s="21" t="s">
        <v>37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3">
        <v>80.95</v>
      </c>
      <c r="AC173" s="28">
        <v>22.67</v>
      </c>
      <c r="AD173" s="25">
        <v>1835.1365000000003</v>
      </c>
      <c r="AE173" s="48">
        <f>-envases!$D$274*AB173</f>
        <v>-32.96695614590916</v>
      </c>
    </row>
    <row r="174" spans="1:31" x14ac:dyDescent="0.25">
      <c r="A174" s="20">
        <v>439832</v>
      </c>
      <c r="B174" s="21" t="s">
        <v>170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3">
        <v>4350.089999999999</v>
      </c>
      <c r="AC174" s="28">
        <v>16.34</v>
      </c>
      <c r="AD174" s="25">
        <v>71080.47059999999</v>
      </c>
      <c r="AE174" s="48">
        <f>-envases!$D$295*AB174</f>
        <v>-1524.485310716918</v>
      </c>
    </row>
    <row r="175" spans="1:31" x14ac:dyDescent="0.25">
      <c r="A175" s="20">
        <v>439909</v>
      </c>
      <c r="B175" s="21" t="s">
        <v>38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3">
        <v>66.75999999999999</v>
      </c>
      <c r="AC175" s="28">
        <v>13.39</v>
      </c>
      <c r="AD175" s="25">
        <v>893.9164</v>
      </c>
      <c r="AE175" s="48">
        <f>-envases!$D$316*AB175</f>
        <v>-38.69704137998867</v>
      </c>
    </row>
    <row r="176" spans="1:31" x14ac:dyDescent="0.25">
      <c r="A176" s="20">
        <v>441460</v>
      </c>
      <c r="B176" s="21" t="s">
        <v>171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3">
        <f t="shared" si="7"/>
        <v>0</v>
      </c>
      <c r="AC176" s="28">
        <v>20.011</v>
      </c>
      <c r="AD176" s="25">
        <f t="shared" si="8"/>
        <v>0</v>
      </c>
      <c r="AE176" s="51">
        <f>-envases!BB142*AB176</f>
        <v>0</v>
      </c>
    </row>
    <row r="177" spans="1:31" x14ac:dyDescent="0.25">
      <c r="A177" s="20">
        <v>441916</v>
      </c>
      <c r="B177" s="21" t="s">
        <v>172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3">
        <f t="shared" si="7"/>
        <v>0</v>
      </c>
      <c r="AC177" s="28">
        <v>34.81</v>
      </c>
      <c r="AD177" s="25">
        <f t="shared" si="8"/>
        <v>0</v>
      </c>
      <c r="AE177" s="48">
        <f>-envases!$BB$62*AB177</f>
        <v>0</v>
      </c>
    </row>
    <row r="178" spans="1:31" x14ac:dyDescent="0.25">
      <c r="A178" s="20">
        <v>442010</v>
      </c>
      <c r="B178" s="21" t="s">
        <v>173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3">
        <f t="shared" si="7"/>
        <v>0</v>
      </c>
      <c r="AC178" s="28">
        <v>10.92</v>
      </c>
      <c r="AD178" s="25">
        <f t="shared" si="8"/>
        <v>0</v>
      </c>
      <c r="AE178" s="51">
        <f>-envases!BG242*AB178</f>
        <v>0</v>
      </c>
    </row>
    <row r="179" spans="1:31" x14ac:dyDescent="0.25">
      <c r="A179" s="20">
        <v>442024</v>
      </c>
      <c r="B179" s="21" t="s">
        <v>174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3">
        <v>496.47</v>
      </c>
      <c r="AC179" s="28">
        <v>11.93</v>
      </c>
      <c r="AD179" s="25">
        <v>5922.8871</v>
      </c>
      <c r="AE179" s="48">
        <f>-envases!$BG$22*AB179</f>
        <v>-218.66131573274245</v>
      </c>
    </row>
    <row r="180" spans="1:31" x14ac:dyDescent="0.25">
      <c r="A180" s="20">
        <v>442033</v>
      </c>
      <c r="B180" s="21" t="s">
        <v>175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3">
        <v>220.2</v>
      </c>
      <c r="AC180" s="52">
        <v>15.07</v>
      </c>
      <c r="AD180" s="25">
        <v>3318.4139999999998</v>
      </c>
      <c r="AE180" s="48">
        <f>-envases!$BG$62*AB180</f>
        <v>-126.08136917316442</v>
      </c>
    </row>
    <row r="181" spans="1:31" x14ac:dyDescent="0.25">
      <c r="A181" s="20">
        <v>442035</v>
      </c>
      <c r="B181" s="21" t="s">
        <v>176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3">
        <v>611.3399999999999</v>
      </c>
      <c r="AC181" s="50">
        <v>5.55</v>
      </c>
      <c r="AD181" s="25">
        <v>3392.9369999999994</v>
      </c>
      <c r="AE181" s="48">
        <f>-envases!$BG$202*AB181</f>
        <v>-295.10275847477425</v>
      </c>
    </row>
    <row r="182" spans="1:31" x14ac:dyDescent="0.25">
      <c r="A182" s="20">
        <v>442832</v>
      </c>
      <c r="B182" s="21" t="s">
        <v>177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3">
        <v>1323.8899999999999</v>
      </c>
      <c r="AC182" s="53">
        <v>15.23</v>
      </c>
      <c r="AD182" s="25">
        <v>20162.844699999998</v>
      </c>
      <c r="AE182" s="48">
        <f>-envases!$BG$82*AB182</f>
        <v>-648.3190826315857</v>
      </c>
    </row>
    <row r="183" spans="1:31" x14ac:dyDescent="0.25">
      <c r="A183" s="20">
        <v>443036</v>
      </c>
      <c r="B183" s="21" t="s">
        <v>178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3">
        <f t="shared" si="7"/>
        <v>0</v>
      </c>
      <c r="AC183" s="28">
        <f>273/1.1391184/40.3</f>
        <v>5.946873958305911</v>
      </c>
      <c r="AD183" s="25">
        <f t="shared" si="8"/>
        <v>0</v>
      </c>
      <c r="AE183" s="51">
        <f>-envases!BG302*AB183</f>
        <v>0</v>
      </c>
    </row>
    <row r="184" spans="1:31" x14ac:dyDescent="0.25">
      <c r="A184" s="20">
        <v>443060</v>
      </c>
      <c r="B184" s="21" t="s">
        <v>179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3">
        <v>2494.86</v>
      </c>
      <c r="AC184" s="28">
        <v>13.06</v>
      </c>
      <c r="AD184" s="25">
        <f t="shared" ref="AD184:AD239" si="9">AB184*AC184</f>
        <v>32582.871600000002</v>
      </c>
      <c r="AE184" s="48">
        <f>-envases!$BG$122*AB184</f>
        <v>-837.1556083759747</v>
      </c>
    </row>
    <row r="185" spans="1:31" x14ac:dyDescent="0.25">
      <c r="A185" s="20">
        <v>443360</v>
      </c>
      <c r="B185" s="21" t="s">
        <v>180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3">
        <v>308.71000000000004</v>
      </c>
      <c r="AC185" s="28">
        <v>15.67</v>
      </c>
      <c r="AD185" s="25">
        <v>4837.4857</v>
      </c>
      <c r="AE185" s="48">
        <f>-envases!BG142*AB185</f>
        <v>-140.0444132421766</v>
      </c>
    </row>
    <row r="186" spans="1:32" x14ac:dyDescent="0.25">
      <c r="A186" s="20">
        <v>443414</v>
      </c>
      <c r="B186" s="21" t="s">
        <v>181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3">
        <f t="shared" si="7"/>
        <v>0</v>
      </c>
      <c r="AC186" s="53">
        <f>253/1.12784/40.3</f>
        <v>5.566317591816519</v>
      </c>
      <c r="AD186" s="25">
        <f t="shared" si="9"/>
        <v>0</v>
      </c>
      <c r="AE186" s="48">
        <f>-envases!$BG$282*AB186</f>
        <v>0</v>
      </c>
      <c r="AF186" s="46"/>
    </row>
    <row r="187" spans="1:32" x14ac:dyDescent="0.25">
      <c r="A187" s="20">
        <v>443443</v>
      </c>
      <c r="B187" s="21" t="s">
        <v>182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3">
        <f t="shared" si="7"/>
        <v>0</v>
      </c>
      <c r="AC187" s="53">
        <f>216/1.12784/40.3</f>
        <v>4.752271145582482</v>
      </c>
      <c r="AD187" s="25">
        <f t="shared" si="9"/>
        <v>0</v>
      </c>
      <c r="AE187" s="48">
        <f>-envases!$BG$262*AB187</f>
        <v>0</v>
      </c>
      <c r="AF187" s="46"/>
    </row>
    <row r="188" spans="1:32" x14ac:dyDescent="0.25">
      <c r="A188" s="20">
        <v>443560</v>
      </c>
      <c r="B188" s="21" t="s">
        <v>183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3">
        <v>1483.7099999999998</v>
      </c>
      <c r="AC188" s="53">
        <v>16.16</v>
      </c>
      <c r="AD188" s="25">
        <v>23976.753599999996</v>
      </c>
      <c r="AE188" s="48">
        <f>-envases!BG142*AB188</f>
        <v>-673.0760142902717</v>
      </c>
      <c r="AF188" s="46"/>
    </row>
    <row r="189" spans="1:32" x14ac:dyDescent="0.25">
      <c r="A189" s="20">
        <v>443760</v>
      </c>
      <c r="B189" s="21" t="s">
        <v>184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3">
        <v>1929.16</v>
      </c>
      <c r="AC189" s="53">
        <v>15.07</v>
      </c>
      <c r="AD189" s="25">
        <v>29072.4412</v>
      </c>
      <c r="AE189" s="48">
        <f>-envases!BG162*AB189</f>
        <v>-1214.3699256659502</v>
      </c>
      <c r="AF189" s="46"/>
    </row>
    <row r="190" spans="1:32" x14ac:dyDescent="0.25">
      <c r="A190" s="20">
        <v>443799</v>
      </c>
      <c r="B190" s="21" t="s">
        <v>185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3">
        <v>1089.53</v>
      </c>
      <c r="AC190" s="53">
        <f>600/1.2784/40.3</f>
        <v>11.646071236688542</v>
      </c>
      <c r="AD190" s="25">
        <v>12688.743994509266</v>
      </c>
      <c r="AE190" s="48">
        <f>-envases!$BG$102*AB190</f>
        <v>-774.7619215238883</v>
      </c>
      <c r="AF190" s="46"/>
    </row>
    <row r="191" spans="1:33" x14ac:dyDescent="0.25">
      <c r="A191" s="54">
        <v>884507</v>
      </c>
      <c r="B191" s="55" t="s">
        <v>186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3">
        <v>2521.54</v>
      </c>
      <c r="AC191" s="50">
        <v>6.1</v>
      </c>
      <c r="AD191" s="25">
        <v>15381.393999999998</v>
      </c>
      <c r="AE191" s="48">
        <f>-envases!$AH$23*AB191</f>
        <v>-562.1255360291726</v>
      </c>
      <c r="AF191" s="46">
        <f>AD191*0.03</f>
        <v>461.44181999999995</v>
      </c>
      <c r="AG191" s="49">
        <f>-AD191*0.015</f>
        <v>-230.72090999999998</v>
      </c>
    </row>
    <row r="192" spans="1:33" x14ac:dyDescent="0.25">
      <c r="A192" s="54">
        <v>885407</v>
      </c>
      <c r="B192" s="55" t="s">
        <v>187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3">
        <v>2021.55</v>
      </c>
      <c r="AC192" s="28">
        <v>7</v>
      </c>
      <c r="AD192" s="25">
        <v>14150.85</v>
      </c>
      <c r="AE192" s="48">
        <f>-envases!$AH$44*AB192</f>
        <v>-944.2231811566838</v>
      </c>
      <c r="AF192" s="46">
        <f t="shared" ref="AF192:AF193" si="10">AD192*0.03</f>
        <v>424.5255</v>
      </c>
      <c r="AG192" s="49">
        <f t="shared" ref="AG192:AG193" si="11">-AD192*0.015</f>
        <v>-212.26275</v>
      </c>
    </row>
    <row r="193" spans="1:33" x14ac:dyDescent="0.25">
      <c r="A193" s="54">
        <v>886407</v>
      </c>
      <c r="B193" s="55" t="s">
        <v>188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3">
        <f t="shared" si="7"/>
        <v>0</v>
      </c>
      <c r="AC193" s="28">
        <v>7</v>
      </c>
      <c r="AD193" s="25">
        <f t="shared" si="9"/>
        <v>0</v>
      </c>
      <c r="AE193" s="48">
        <f>-envases!$AH$63*AB193</f>
        <v>0</v>
      </c>
      <c r="AF193" s="46">
        <f t="shared" si="10"/>
        <v>0</v>
      </c>
      <c r="AG193" s="49">
        <f t="shared" si="11"/>
        <v>0</v>
      </c>
    </row>
    <row r="194" spans="1:32" x14ac:dyDescent="0.25">
      <c r="A194" s="56">
        <v>980006</v>
      </c>
      <c r="B194" s="57" t="s">
        <v>40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3">
        <v>671.52</v>
      </c>
      <c r="AC194" s="28">
        <v>7.4</v>
      </c>
      <c r="AD194" s="25">
        <v>4969.2480000000005</v>
      </c>
      <c r="AE194" s="58"/>
      <c r="AF194" s="46"/>
    </row>
    <row r="195" spans="1:32" x14ac:dyDescent="0.25">
      <c r="A195" s="56">
        <v>980009</v>
      </c>
      <c r="B195" s="57" t="s">
        <v>42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3">
        <f t="shared" si="7"/>
        <v>0</v>
      </c>
      <c r="AC195" s="28">
        <v>6.5</v>
      </c>
      <c r="AD195" s="25">
        <f t="shared" si="9"/>
        <v>0</v>
      </c>
      <c r="AE195" s="58"/>
      <c r="AF195" s="46"/>
    </row>
    <row r="196" spans="1:32" x14ac:dyDescent="0.25">
      <c r="A196" s="20">
        <v>980011</v>
      </c>
      <c r="B196" s="21" t="s">
        <v>41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3">
        <v>123.06</v>
      </c>
      <c r="AC196" s="59">
        <v>7.4</v>
      </c>
      <c r="AD196" s="25">
        <v>910.644</v>
      </c>
      <c r="AE196" s="58"/>
      <c r="AF196" s="46"/>
    </row>
    <row r="197" spans="1:31" x14ac:dyDescent="0.25">
      <c r="A197" s="20">
        <v>980016</v>
      </c>
      <c r="B197" s="21" t="s">
        <v>189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3">
        <v>44.75</v>
      </c>
      <c r="AC197" s="50">
        <v>25.87</v>
      </c>
      <c r="AD197" s="25">
        <v>1157.6825000000001</v>
      </c>
      <c r="AE197" s="58"/>
    </row>
    <row r="198" spans="1:31" x14ac:dyDescent="0.25">
      <c r="A198" s="20">
        <v>980024</v>
      </c>
      <c r="B198" s="21" t="s">
        <v>190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3">
        <v>1979.5799999999997</v>
      </c>
      <c r="AC198" s="50">
        <v>11.68</v>
      </c>
      <c r="AD198" s="25">
        <v>23121.494399999996</v>
      </c>
      <c r="AE198" s="58"/>
    </row>
    <row r="199" spans="1:31" x14ac:dyDescent="0.25">
      <c r="A199" s="20">
        <v>980025</v>
      </c>
      <c r="B199" s="21" t="s">
        <v>191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3">
        <v>13</v>
      </c>
      <c r="AC199" s="50">
        <v>17.16</v>
      </c>
      <c r="AD199" s="25">
        <v>223.08</v>
      </c>
      <c r="AE199" s="58"/>
    </row>
    <row r="200" spans="1:31" x14ac:dyDescent="0.25">
      <c r="A200" s="20">
        <v>980026</v>
      </c>
      <c r="B200" s="21" t="s">
        <v>46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3">
        <f t="shared" si="7"/>
        <v>0</v>
      </c>
      <c r="AC200" s="50">
        <v>6.5</v>
      </c>
      <c r="AD200" s="25">
        <f t="shared" si="9"/>
        <v>0</v>
      </c>
      <c r="AE200" s="58"/>
    </row>
    <row r="201" spans="1:31" x14ac:dyDescent="0.25">
      <c r="A201" s="20">
        <v>980028</v>
      </c>
      <c r="B201" s="21" t="s">
        <v>47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3">
        <f t="shared" si="7"/>
        <v>0</v>
      </c>
      <c r="AC201" s="50">
        <v>7.2</v>
      </c>
      <c r="AD201" s="25">
        <f t="shared" si="9"/>
        <v>0</v>
      </c>
      <c r="AE201" s="58"/>
    </row>
    <row r="202" spans="1:31" x14ac:dyDescent="0.25">
      <c r="A202" s="20">
        <v>980030</v>
      </c>
      <c r="B202" s="21" t="s">
        <v>48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3">
        <v>54.87</v>
      </c>
      <c r="AC202" s="50">
        <v>22.53</v>
      </c>
      <c r="AD202" s="25">
        <v>1236.2211</v>
      </c>
      <c r="AE202" s="58"/>
    </row>
    <row r="203" spans="1:31" x14ac:dyDescent="0.25">
      <c r="A203" s="20">
        <v>980031</v>
      </c>
      <c r="B203" s="21" t="s">
        <v>192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3">
        <f t="shared" ref="AB203:AB216" si="12">SUM(C203:AA203)</f>
        <v>284.7</v>
      </c>
      <c r="AC203" s="50">
        <v>19.01</v>
      </c>
      <c r="AD203" s="25">
        <v>5412.147</v>
      </c>
      <c r="AE203" s="58"/>
    </row>
    <row r="204" spans="1:31" x14ac:dyDescent="0.25">
      <c r="A204" s="20">
        <v>980032</v>
      </c>
      <c r="B204" s="21" t="s">
        <v>50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3">
        <v>465.36000000000007</v>
      </c>
      <c r="AC204" s="50">
        <v>16.37</v>
      </c>
      <c r="AD204" s="25">
        <v>7617.9432000000015</v>
      </c>
      <c r="AE204" s="58"/>
    </row>
    <row r="205" spans="1:31" x14ac:dyDescent="0.25">
      <c r="A205" s="20">
        <v>980033</v>
      </c>
      <c r="B205" s="21" t="s">
        <v>51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3">
        <v>126.84000000000002</v>
      </c>
      <c r="AC205" s="50">
        <v>17.33</v>
      </c>
      <c r="AD205" s="25">
        <v>2198.1372</v>
      </c>
      <c r="AE205" s="58"/>
    </row>
    <row r="206" spans="1:31" x14ac:dyDescent="0.25">
      <c r="A206" s="20">
        <v>980035</v>
      </c>
      <c r="B206" s="21" t="s">
        <v>52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3">
        <v>1116.13</v>
      </c>
      <c r="AC206" s="50">
        <v>6.53</v>
      </c>
      <c r="AD206" s="25">
        <v>7288.328900000001</v>
      </c>
      <c r="AE206" s="58"/>
    </row>
    <row r="207" spans="1:32" x14ac:dyDescent="0.25">
      <c r="A207" s="20">
        <v>980039</v>
      </c>
      <c r="B207" s="21" t="s">
        <v>53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3">
        <v>781.99</v>
      </c>
      <c r="AC207" s="50">
        <v>4.155</v>
      </c>
      <c r="AD207" s="25">
        <v>3249.16845</v>
      </c>
      <c r="AE207" s="58"/>
      <c r="AF207" s="46"/>
    </row>
    <row r="208" spans="1:32" x14ac:dyDescent="0.25">
      <c r="A208" s="20">
        <v>980041</v>
      </c>
      <c r="B208" s="21" t="s">
        <v>54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3">
        <f t="shared" si="12"/>
        <v>0</v>
      </c>
      <c r="AC208" s="50">
        <v>11.08</v>
      </c>
      <c r="AD208" s="25">
        <f t="shared" si="9"/>
        <v>0</v>
      </c>
      <c r="AE208" s="58"/>
      <c r="AF208" s="46"/>
    </row>
    <row r="209" spans="1:31" x14ac:dyDescent="0.25">
      <c r="A209" s="20">
        <v>980060</v>
      </c>
      <c r="B209" s="21" t="s">
        <v>193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3">
        <v>11253.02</v>
      </c>
      <c r="AC209" s="50">
        <v>4.8</v>
      </c>
      <c r="AD209" s="25">
        <v>54014.496</v>
      </c>
      <c r="AE209" s="58"/>
    </row>
    <row r="210" spans="1:32" x14ac:dyDescent="0.25">
      <c r="A210" s="20">
        <v>980070</v>
      </c>
      <c r="B210" s="21" t="s">
        <v>56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3">
        <v>1490.8</v>
      </c>
      <c r="AC210" s="50">
        <v>19.7</v>
      </c>
      <c r="AD210" s="25">
        <v>29368.76</v>
      </c>
      <c r="AE210" s="58"/>
      <c r="AF210" s="46"/>
    </row>
    <row r="211" spans="1:31" x14ac:dyDescent="0.25">
      <c r="A211" s="20">
        <v>980090</v>
      </c>
      <c r="B211" s="21" t="s">
        <v>194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3">
        <v>5809.030000000002</v>
      </c>
      <c r="AC211" s="50">
        <v>4.5</v>
      </c>
      <c r="AD211" s="25">
        <v>26140.635000000006</v>
      </c>
      <c r="AE211" s="58"/>
    </row>
    <row r="212" spans="1:31" x14ac:dyDescent="0.25">
      <c r="A212" s="20">
        <v>980091</v>
      </c>
      <c r="B212" s="21" t="s">
        <v>58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3">
        <f t="shared" si="12"/>
        <v>0</v>
      </c>
      <c r="AC212" s="50">
        <v>5.5</v>
      </c>
      <c r="AD212" s="25">
        <f t="shared" si="9"/>
        <v>0</v>
      </c>
      <c r="AE212" s="58"/>
    </row>
    <row r="213" spans="1:31" x14ac:dyDescent="0.25">
      <c r="A213" s="20">
        <v>980099</v>
      </c>
      <c r="B213" s="21" t="s">
        <v>59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3">
        <v>530.55</v>
      </c>
      <c r="AC213" s="50"/>
      <c r="AD213" s="25">
        <f t="shared" si="9"/>
        <v>0</v>
      </c>
      <c r="AE213" s="58"/>
    </row>
    <row r="214" spans="1:31" x14ac:dyDescent="0.25">
      <c r="A214" s="34">
        <v>980536</v>
      </c>
      <c r="B214" s="36" t="s">
        <v>195</v>
      </c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23">
        <v>973.52</v>
      </c>
      <c r="AC214" s="50"/>
      <c r="AD214" s="25">
        <f t="shared" si="9"/>
        <v>0</v>
      </c>
      <c r="AE214" s="58"/>
    </row>
    <row r="215" spans="1:33" x14ac:dyDescent="0.25">
      <c r="A215" s="54">
        <v>991039</v>
      </c>
      <c r="B215" s="55" t="s">
        <v>196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3">
        <v>12000.130000000001</v>
      </c>
      <c r="AC215" s="50">
        <v>4.6</v>
      </c>
      <c r="AD215" s="25">
        <v>55200.598</v>
      </c>
      <c r="AE215" s="48">
        <f>-envases!$AC$121*AB215</f>
        <v>-819.058584051015</v>
      </c>
      <c r="AF215" s="46">
        <f>AD215*0.03</f>
        <v>1656.01794</v>
      </c>
      <c r="AG215" s="49">
        <f>-AD215*0.015</f>
        <v>-828.00897</v>
      </c>
    </row>
    <row r="216" spans="1:33" x14ac:dyDescent="0.25">
      <c r="A216" s="54">
        <v>991090</v>
      </c>
      <c r="B216" s="55" t="s">
        <v>197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3">
        <v>3455.67</v>
      </c>
      <c r="AC216" s="60">
        <v>4.6</v>
      </c>
      <c r="AD216" s="25">
        <v>15896.081999999999</v>
      </c>
      <c r="AE216" s="48">
        <f>-envases!$AC$155*AB216</f>
        <v>-183.17714384882427</v>
      </c>
      <c r="AF216" s="46">
        <f t="shared" ref="AF216:AF231" si="13">AD216*0.03</f>
        <v>476.8824599999999</v>
      </c>
      <c r="AG216" s="49">
        <f t="shared" ref="AG216:AG231" si="14">-AD216*0.015</f>
        <v>-238.44122999999996</v>
      </c>
    </row>
    <row r="217" spans="1:33" x14ac:dyDescent="0.25">
      <c r="A217" s="54">
        <v>991190</v>
      </c>
      <c r="B217" s="55" t="s">
        <v>198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3">
        <f t="shared" ref="AB217:AB238" si="15">SUM(C217:AA217)</f>
        <v>4340</v>
      </c>
      <c r="AC217" s="50">
        <v>1.6</v>
      </c>
      <c r="AD217" s="25">
        <v>6944</v>
      </c>
      <c r="AE217" s="48">
        <f>-envases!$AC$274*AB217</f>
        <v>-312.9877182298809</v>
      </c>
      <c r="AF217" s="46">
        <v>208.32</v>
      </c>
      <c r="AG217" s="49">
        <v>-104.16</v>
      </c>
    </row>
    <row r="218" spans="1:33" x14ac:dyDescent="0.25">
      <c r="A218" s="54">
        <v>991260</v>
      </c>
      <c r="B218" s="55" t="s">
        <v>199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3">
        <v>41654.64</v>
      </c>
      <c r="AC218" s="50">
        <v>4.7</v>
      </c>
      <c r="AD218" s="25">
        <v>195776.80800000002</v>
      </c>
      <c r="AE218" s="48">
        <f>-envases!$AC$359*AB218</f>
        <v>-3633.589302976792</v>
      </c>
      <c r="AF218" s="46">
        <v>5873.30424</v>
      </c>
      <c r="AG218" s="49">
        <v>-2936.65212</v>
      </c>
    </row>
    <row r="219" spans="1:33" x14ac:dyDescent="0.25">
      <c r="A219" s="54">
        <v>991290</v>
      </c>
      <c r="B219" s="55" t="s">
        <v>200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3">
        <v>2584.95</v>
      </c>
      <c r="AC219" s="50">
        <v>3.7</v>
      </c>
      <c r="AD219" s="25">
        <v>9564.315</v>
      </c>
      <c r="AE219" s="48">
        <f>-envases!$AC$376*AB219</f>
        <v>-137.02227295778195</v>
      </c>
      <c r="AF219" s="46">
        <v>286.92945000000003</v>
      </c>
      <c r="AG219" s="49">
        <v>-143.46472500000002</v>
      </c>
    </row>
    <row r="220" spans="1:33" x14ac:dyDescent="0.25">
      <c r="A220" s="54">
        <v>991390</v>
      </c>
      <c r="B220" s="55" t="s">
        <v>201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3">
        <v>2748.21</v>
      </c>
      <c r="AC220" s="50">
        <v>4.4</v>
      </c>
      <c r="AD220" s="25">
        <v>12092.124000000002</v>
      </c>
      <c r="AE220" s="48">
        <f>-envases!$AC$461*AB220</f>
        <v>-145.6763112498524</v>
      </c>
      <c r="AF220" s="46">
        <v>362.76372000000003</v>
      </c>
      <c r="AG220" s="49">
        <v>-181.38186000000002</v>
      </c>
    </row>
    <row r="221" spans="1:33" x14ac:dyDescent="0.25">
      <c r="A221" s="54">
        <v>991560</v>
      </c>
      <c r="B221" s="55" t="s">
        <v>202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3">
        <v>3852.9300000000003</v>
      </c>
      <c r="AC221" s="50">
        <v>4.6</v>
      </c>
      <c r="AD221" s="25">
        <v>17723.478</v>
      </c>
      <c r="AE221" s="48">
        <f>-envases!$AC$546*AB221</f>
        <v>-305.4410587164915</v>
      </c>
      <c r="AF221" s="46">
        <v>531.70434</v>
      </c>
      <c r="AG221" s="49">
        <v>-265.85217</v>
      </c>
    </row>
    <row r="222" spans="1:33" x14ac:dyDescent="0.25">
      <c r="A222" s="54">
        <v>991590</v>
      </c>
      <c r="B222" s="55" t="s">
        <v>203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3">
        <v>2857.0500000000006</v>
      </c>
      <c r="AC222" s="50">
        <v>5.1</v>
      </c>
      <c r="AD222" s="25">
        <v>14570.955000000002</v>
      </c>
      <c r="AE222" s="48">
        <f>-envases!$AC$563*AB222</f>
        <v>-151.44567011123272</v>
      </c>
      <c r="AF222" s="46">
        <v>437.12865000000005</v>
      </c>
      <c r="AG222" s="49">
        <v>-218.56432500000003</v>
      </c>
    </row>
    <row r="223" spans="1:33" x14ac:dyDescent="0.25">
      <c r="A223" s="54">
        <v>991593</v>
      </c>
      <c r="B223" s="55" t="s">
        <v>204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9"/>
      <c r="AA223" s="29"/>
      <c r="AB223" s="23">
        <v>80</v>
      </c>
      <c r="AC223" s="50">
        <v>5</v>
      </c>
      <c r="AD223" s="25">
        <v>400</v>
      </c>
      <c r="AE223" s="48">
        <f>-envases!AC597*AB223</f>
        <v>-9.774243050083175</v>
      </c>
      <c r="AF223" s="46">
        <v>12</v>
      </c>
      <c r="AG223" s="49">
        <v>-6</v>
      </c>
    </row>
    <row r="224" spans="1:33" x14ac:dyDescent="0.25">
      <c r="A224" s="54">
        <v>991790</v>
      </c>
      <c r="B224" s="55" t="s">
        <v>205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9"/>
      <c r="AA224" s="2"/>
      <c r="AB224" s="23">
        <v>2993.1</v>
      </c>
      <c r="AC224" s="50">
        <v>5.35</v>
      </c>
      <c r="AD224" s="25">
        <v>16013.085</v>
      </c>
      <c r="AE224" s="48">
        <f>-envases!$AC$648*AB224</f>
        <v>-158.65736868795804</v>
      </c>
      <c r="AF224" s="46">
        <v>480.39254999999997</v>
      </c>
      <c r="AG224" s="49">
        <v>-240.19627499999999</v>
      </c>
    </row>
    <row r="225" spans="1:33" x14ac:dyDescent="0.25">
      <c r="A225" s="54">
        <v>991860</v>
      </c>
      <c r="B225" s="55" t="s">
        <v>206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3">
        <f>SUM(C225:AA225)</f>
        <v>11941.84</v>
      </c>
      <c r="AC225" s="50">
        <v>4.6</v>
      </c>
      <c r="AD225" s="25">
        <v>54932.464</v>
      </c>
      <c r="AE225" s="48">
        <f>-envases!$AC$682*AB225</f>
        <v>-922.5864976020157</v>
      </c>
      <c r="AF225" s="46">
        <v>1647.97392</v>
      </c>
      <c r="AG225" s="49">
        <v>-823.98696</v>
      </c>
    </row>
    <row r="226" spans="1:33" x14ac:dyDescent="0.25">
      <c r="A226" s="54">
        <v>993032</v>
      </c>
      <c r="B226" s="55" t="s">
        <v>207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3">
        <v>46.870000000000005</v>
      </c>
      <c r="AC226" s="50">
        <v>11.1</v>
      </c>
      <c r="AD226" s="25">
        <v>520.2570000000001</v>
      </c>
      <c r="AE226" s="48">
        <f>-envases!$X$34*AB226</f>
        <v>-4.762632760879528</v>
      </c>
      <c r="AF226" s="46">
        <v>15.60771</v>
      </c>
      <c r="AG226" s="49">
        <v>-7.803855</v>
      </c>
    </row>
    <row r="227" spans="1:33" x14ac:dyDescent="0.25">
      <c r="A227" s="54">
        <v>993170</v>
      </c>
      <c r="B227" s="55" t="s">
        <v>208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3">
        <v>1261.1699999999998</v>
      </c>
      <c r="AC227" s="50">
        <v>9.85</v>
      </c>
      <c r="AD227" s="25">
        <v>12422.524499999998</v>
      </c>
      <c r="AE227" s="48">
        <f>-envases!$X$18*AB227</f>
        <v>-145.5337458591638</v>
      </c>
      <c r="AF227" s="46">
        <v>372.6757349999999</v>
      </c>
      <c r="AG227" s="49">
        <v>-186.33786749999996</v>
      </c>
    </row>
    <row r="228" spans="1:33" x14ac:dyDescent="0.25">
      <c r="A228" s="54">
        <v>993171</v>
      </c>
      <c r="B228" s="55" t="s">
        <v>209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3">
        <v>278.06</v>
      </c>
      <c r="AC228" s="50">
        <v>10</v>
      </c>
      <c r="AD228" s="25">
        <v>2780.6</v>
      </c>
      <c r="AE228" s="48">
        <f>-envases!$X$66*AB228</f>
        <v>-27.39318775937358</v>
      </c>
      <c r="AF228" s="46">
        <v>83.41799999999999</v>
      </c>
      <c r="AG228" s="49">
        <v>-41.708999999999996</v>
      </c>
    </row>
    <row r="229" spans="1:33" x14ac:dyDescent="0.25">
      <c r="A229" s="54">
        <v>993271</v>
      </c>
      <c r="B229" s="55" t="s">
        <v>210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3">
        <v>558.68</v>
      </c>
      <c r="AC229" s="50">
        <v>10.55</v>
      </c>
      <c r="AD229" s="25">
        <v>5894.074</v>
      </c>
      <c r="AE229" s="48">
        <f>-envases!$X$50*AB229</f>
        <v>-72.5204928286641</v>
      </c>
      <c r="AF229" s="46">
        <v>176.82222</v>
      </c>
      <c r="AG229" s="49">
        <v>-88.41111</v>
      </c>
    </row>
    <row r="230" spans="1:33" x14ac:dyDescent="0.25">
      <c r="A230" s="54">
        <v>993590</v>
      </c>
      <c r="B230" s="55" t="s">
        <v>211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3">
        <v>408.15</v>
      </c>
      <c r="AC230" s="50">
        <v>5</v>
      </c>
      <c r="AD230" s="25">
        <v>2040.75</v>
      </c>
      <c r="AE230" s="48">
        <f>-envases!$X$116*AB230</f>
        <v>-21.635095730176094</v>
      </c>
      <c r="AF230" s="46">
        <v>61.2225</v>
      </c>
      <c r="AG230" s="49">
        <v>-30.61125</v>
      </c>
    </row>
    <row r="231" spans="1:33" x14ac:dyDescent="0.25">
      <c r="A231" s="54">
        <v>993890</v>
      </c>
      <c r="B231" s="55" t="s">
        <v>212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3">
        <v>108.84</v>
      </c>
      <c r="AC231" s="50">
        <v>5.74</v>
      </c>
      <c r="AD231" s="25">
        <v>624.7416000000001</v>
      </c>
      <c r="AE231" s="48">
        <f>-envases!$X$133*AB231</f>
        <v>-5.769358861380292</v>
      </c>
      <c r="AF231" s="46">
        <v>18.742248</v>
      </c>
      <c r="AG231" s="49">
        <v>-9.371124</v>
      </c>
    </row>
    <row r="232" hidden="1" spans="1:32" x14ac:dyDescent="0.25">
      <c r="A232" s="56">
        <v>998028</v>
      </c>
      <c r="B232" s="57" t="s">
        <v>213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3">
        <f t="shared" si="15"/>
        <v>0</v>
      </c>
      <c r="AC232" s="50">
        <v>7.59</v>
      </c>
      <c r="AD232" s="25">
        <f t="shared" si="9"/>
        <v>0</v>
      </c>
      <c r="AE232" s="48">
        <f>-envases!$S$187*AB232</f>
        <v>0</v>
      </c>
      <c r="AF232" s="46"/>
    </row>
    <row r="233" spans="1:32" x14ac:dyDescent="0.25">
      <c r="A233" s="20">
        <v>998136</v>
      </c>
      <c r="B233" s="21" t="s">
        <v>214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3">
        <f t="shared" si="15"/>
        <v>0</v>
      </c>
      <c r="AC233" s="50">
        <v>0.02</v>
      </c>
      <c r="AD233" s="25">
        <f t="shared" si="9"/>
        <v>0</v>
      </c>
      <c r="AE233" s="48">
        <f>-envases!$S$235*AB233</f>
        <v>0</v>
      </c>
      <c r="AF233" s="46"/>
    </row>
    <row r="234" spans="1:32" x14ac:dyDescent="0.25">
      <c r="A234" s="20">
        <v>998160</v>
      </c>
      <c r="B234" s="21" t="s">
        <v>215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3">
        <v>2279.7799999999997</v>
      </c>
      <c r="AC234" s="50">
        <v>5.71</v>
      </c>
      <c r="AD234" s="25">
        <v>13017.543799999998</v>
      </c>
      <c r="AE234" s="48">
        <f>-envases!$S$267*AB234</f>
        <v>-261.3193920396889</v>
      </c>
      <c r="AF234" s="46"/>
    </row>
    <row r="235" spans="1:32" x14ac:dyDescent="0.25">
      <c r="A235" s="20">
        <v>998436</v>
      </c>
      <c r="B235" s="21" t="s">
        <v>216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3">
        <v>317.52</v>
      </c>
      <c r="AC235" s="50">
        <v>4.72</v>
      </c>
      <c r="AD235" s="25">
        <v>1498.6943999999999</v>
      </c>
      <c r="AE235" s="48">
        <f>-envases!S331*AB235</f>
        <v>-26.67662848839506</v>
      </c>
      <c r="AF235" s="46"/>
    </row>
    <row r="236" spans="1:32" x14ac:dyDescent="0.25">
      <c r="A236" s="56">
        <v>998536</v>
      </c>
      <c r="B236" s="57" t="s">
        <v>217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3">
        <v>176.22</v>
      </c>
      <c r="AC236" s="50">
        <v>6.55</v>
      </c>
      <c r="AD236" s="25">
        <v>1154.241</v>
      </c>
      <c r="AE236" s="51">
        <f>-envases!S315*AB236</f>
        <v>-14.80522635495395</v>
      </c>
      <c r="AF236" s="46"/>
    </row>
    <row r="237" spans="1:32" x14ac:dyDescent="0.25">
      <c r="A237" s="56">
        <v>998560</v>
      </c>
      <c r="B237" s="57" t="s">
        <v>218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3">
        <f t="shared" si="15"/>
        <v>0</v>
      </c>
      <c r="AC237" s="50">
        <v>7.31</v>
      </c>
      <c r="AD237" s="25">
        <f t="shared" si="9"/>
        <v>0</v>
      </c>
      <c r="AE237" s="51">
        <f>-envases!S283*AB237</f>
        <v>0</v>
      </c>
      <c r="AF237" s="46"/>
    </row>
    <row r="238" spans="1:32" x14ac:dyDescent="0.25">
      <c r="A238" s="56">
        <v>998760</v>
      </c>
      <c r="B238" s="57" t="s">
        <v>219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3">
        <f t="shared" si="15"/>
        <v>0</v>
      </c>
      <c r="AC238" s="50">
        <v>6.14</v>
      </c>
      <c r="AD238" s="25">
        <f t="shared" si="9"/>
        <v>0</v>
      </c>
      <c r="AE238" s="51">
        <f>-envases!S299*AB238</f>
        <v>0</v>
      </c>
      <c r="AF238" s="46"/>
    </row>
    <row r="239" spans="1:33" x14ac:dyDescent="0.25">
      <c r="A239" s="54">
        <v>1987039</v>
      </c>
      <c r="B239" s="55" t="s">
        <v>220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3">
        <f t="shared" ref="AB239:AB282" si="16">SUM(C239:AA239)</f>
        <v>9010.82</v>
      </c>
      <c r="AC239" s="50">
        <v>5.3</v>
      </c>
      <c r="AD239" s="25">
        <v>47757.346</v>
      </c>
      <c r="AE239" s="48">
        <f>-envases!$AM$35*AB239</f>
        <v>-966.2503756032042</v>
      </c>
      <c r="AF239" s="46">
        <f>AD239*0.03</f>
        <v>1432.72038</v>
      </c>
      <c r="AG239" s="49">
        <f>-AD239*0.015</f>
        <v>-716.36019</v>
      </c>
    </row>
    <row r="240" spans="1:33" x14ac:dyDescent="0.25">
      <c r="A240" s="54">
        <v>1987060</v>
      </c>
      <c r="B240" s="55" t="s">
        <v>221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3">
        <v>8124.91</v>
      </c>
      <c r="AC240" s="50">
        <v>10.8</v>
      </c>
      <c r="AD240" s="25">
        <f t="shared" ref="AD240:AD286" si="17">AB240*AC240</f>
        <v>87749.028</v>
      </c>
      <c r="AE240" s="48">
        <f>-envases!$AM$53*AB240</f>
        <v>-2769.9570357362777</v>
      </c>
      <c r="AF240" s="46">
        <f t="shared" ref="AF240:AF249" si="18">AD240*0.03</f>
        <v>2632.47084</v>
      </c>
      <c r="AG240" s="49">
        <f t="shared" ref="AG240:AG249" si="19">-AD240*0.015</f>
        <v>-1316.23542</v>
      </c>
    </row>
    <row r="241" spans="1:33" x14ac:dyDescent="0.25">
      <c r="A241" s="54">
        <v>1987093</v>
      </c>
      <c r="B241" s="55" t="s">
        <v>222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3">
        <v>564.3</v>
      </c>
      <c r="AC241" s="50">
        <v>15.5</v>
      </c>
      <c r="AD241" s="25">
        <v>8746.65</v>
      </c>
      <c r="AE241" s="48">
        <f>-envases!$AM$104*AB241</f>
        <v>-152.77034069597968</v>
      </c>
      <c r="AF241" s="46">
        <v>262.3995</v>
      </c>
      <c r="AG241" s="49">
        <v>-131.19975</v>
      </c>
    </row>
    <row r="242" spans="1:33" x14ac:dyDescent="0.25">
      <c r="A242" s="54">
        <v>1987134</v>
      </c>
      <c r="B242" s="55" t="s">
        <v>223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3">
        <f t="shared" si="16"/>
        <v>0</v>
      </c>
      <c r="AC242" s="50">
        <v>8.6</v>
      </c>
      <c r="AD242" s="25">
        <f t="shared" si="17"/>
        <v>0</v>
      </c>
      <c r="AE242" s="51">
        <f>-envases!AM174*AB242</f>
        <v>0</v>
      </c>
      <c r="AF242" s="46">
        <f t="shared" si="18"/>
        <v>0</v>
      </c>
      <c r="AG242" s="49">
        <f t="shared" si="19"/>
        <v>0</v>
      </c>
    </row>
    <row r="243" spans="1:33" x14ac:dyDescent="0.25">
      <c r="A243" s="54">
        <v>1987139</v>
      </c>
      <c r="B243" s="55" t="s">
        <v>224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3">
        <v>15328.44</v>
      </c>
      <c r="AC243" s="50">
        <v>7.325</v>
      </c>
      <c r="AD243" s="25">
        <v>112280.823</v>
      </c>
      <c r="AE243" s="48">
        <f>-envases!$AM$70*AB243</f>
        <v>-2860.0044164530473</v>
      </c>
      <c r="AF243" s="46">
        <v>3368.42469</v>
      </c>
      <c r="AG243" s="49">
        <v>-1684.212345</v>
      </c>
    </row>
    <row r="244" spans="1:33" x14ac:dyDescent="0.25">
      <c r="A244" s="54">
        <v>1987160</v>
      </c>
      <c r="B244" s="55" t="s">
        <v>225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3">
        <v>9587.369999999999</v>
      </c>
      <c r="AC244" s="50">
        <v>11.1</v>
      </c>
      <c r="AD244" s="25">
        <v>106419.80699999999</v>
      </c>
      <c r="AE244" s="48">
        <f>-envases!$AM$122*AB244</f>
        <v>-3346.7098076994325</v>
      </c>
      <c r="AF244" s="46">
        <v>3192.5942099999993</v>
      </c>
      <c r="AG244" s="49">
        <v>-1596.2971049999996</v>
      </c>
    </row>
    <row r="245" spans="1:33" x14ac:dyDescent="0.25">
      <c r="A245" s="54">
        <v>1987193</v>
      </c>
      <c r="B245" s="55" t="s">
        <v>226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3">
        <f t="shared" si="16"/>
        <v>0</v>
      </c>
      <c r="AC245" s="50">
        <v>12.725</v>
      </c>
      <c r="AD245" s="25">
        <f t="shared" si="17"/>
        <v>0</v>
      </c>
      <c r="AE245" s="48">
        <f>-envases!$AM$87*AB245</f>
        <v>0</v>
      </c>
      <c r="AF245" s="46">
        <f t="shared" si="18"/>
        <v>0</v>
      </c>
      <c r="AG245" s="49">
        <f t="shared" si="19"/>
        <v>0</v>
      </c>
    </row>
    <row r="246" spans="1:33" x14ac:dyDescent="0.25">
      <c r="A246" s="54">
        <v>1987260</v>
      </c>
      <c r="B246" s="55" t="s">
        <v>227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3">
        <f t="shared" si="16"/>
        <v>0</v>
      </c>
      <c r="AC246" s="50">
        <v>5.7</v>
      </c>
      <c r="AD246" s="25">
        <f t="shared" si="17"/>
        <v>0</v>
      </c>
      <c r="AE246" s="51">
        <f>-envases!AM191*AB246</f>
        <v>0</v>
      </c>
      <c r="AF246" s="46">
        <f t="shared" si="18"/>
        <v>0</v>
      </c>
      <c r="AG246" s="49">
        <f t="shared" si="19"/>
        <v>0</v>
      </c>
    </row>
    <row r="247" spans="1:33" x14ac:dyDescent="0.25">
      <c r="A247" s="54">
        <v>1987960</v>
      </c>
      <c r="B247" s="55" t="s">
        <v>228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3">
        <v>4616.14</v>
      </c>
      <c r="AC247" s="50">
        <v>3.3</v>
      </c>
      <c r="AD247" s="25">
        <v>15233.262</v>
      </c>
      <c r="AE247" s="48">
        <f>-envases!$AM$139*AB247</f>
        <v>-583.8519774658791</v>
      </c>
      <c r="AF247" s="46">
        <v>456.99786</v>
      </c>
      <c r="AG247" s="49">
        <v>-228.49893</v>
      </c>
    </row>
    <row r="248" spans="1:33" x14ac:dyDescent="0.25">
      <c r="A248" s="54">
        <v>1992139</v>
      </c>
      <c r="B248" s="55" t="s">
        <v>229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3">
        <f t="shared" si="16"/>
        <v>0</v>
      </c>
      <c r="AC248" s="50">
        <v>9</v>
      </c>
      <c r="AD248" s="25">
        <f t="shared" si="17"/>
        <v>0</v>
      </c>
      <c r="AE248" s="51">
        <f>-envases!AM70*AB248</f>
        <v>0</v>
      </c>
      <c r="AF248" s="46">
        <f t="shared" si="18"/>
        <v>0</v>
      </c>
      <c r="AG248" s="49">
        <f t="shared" si="19"/>
        <v>0</v>
      </c>
    </row>
    <row r="249" spans="1:33" x14ac:dyDescent="0.25">
      <c r="A249" s="54">
        <v>1994139</v>
      </c>
      <c r="B249" s="55" t="s">
        <v>230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3">
        <f t="shared" si="16"/>
        <v>0</v>
      </c>
      <c r="AC249" s="50">
        <v>9.4</v>
      </c>
      <c r="AD249" s="25">
        <f t="shared" si="17"/>
        <v>0</v>
      </c>
      <c r="AE249" s="51">
        <f>-envases!AM208*AB249</f>
        <v>0</v>
      </c>
      <c r="AF249" s="46">
        <f t="shared" si="18"/>
        <v>0</v>
      </c>
      <c r="AG249" s="49">
        <f t="shared" si="19"/>
        <v>0</v>
      </c>
    </row>
    <row r="250" spans="1:33" x14ac:dyDescent="0.25">
      <c r="A250" s="56">
        <v>2000032</v>
      </c>
      <c r="B250" s="57" t="s">
        <v>231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3">
        <v>162.64</v>
      </c>
      <c r="AC250" s="50">
        <v>5.5</v>
      </c>
      <c r="AD250" s="25">
        <v>894.52</v>
      </c>
      <c r="AE250" s="58"/>
      <c r="AF250" s="46"/>
      <c r="AG250" s="49"/>
    </row>
    <row r="251" spans="1:32" x14ac:dyDescent="0.25">
      <c r="A251" s="20">
        <v>2000035</v>
      </c>
      <c r="B251" s="21" t="s">
        <v>232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3">
        <v>1140.71</v>
      </c>
      <c r="AC251" s="50">
        <v>5.5</v>
      </c>
      <c r="AD251" s="25">
        <v>6273.905000000001</v>
      </c>
      <c r="AE251" s="58"/>
      <c r="AF251" s="46"/>
    </row>
    <row r="252" spans="1:32" x14ac:dyDescent="0.25">
      <c r="A252" s="20">
        <v>2000037</v>
      </c>
      <c r="B252" s="21" t="s">
        <v>81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3">
        <f t="shared" si="16"/>
        <v>0</v>
      </c>
      <c r="AC252" s="61">
        <f>+AC150</f>
        <v>12.94</v>
      </c>
      <c r="AD252" s="25">
        <f t="shared" si="17"/>
        <v>0</v>
      </c>
      <c r="AE252" s="58"/>
      <c r="AF252" s="46"/>
    </row>
    <row r="253" spans="1:32" x14ac:dyDescent="0.25">
      <c r="A253" s="20">
        <v>2000060</v>
      </c>
      <c r="B253" s="21" t="s">
        <v>233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3">
        <v>2436.65</v>
      </c>
      <c r="AC253" s="50">
        <v>5.5</v>
      </c>
      <c r="AD253" s="25">
        <v>13401.575</v>
      </c>
      <c r="AE253" s="58"/>
      <c r="AF253" s="46"/>
    </row>
    <row r="254" spans="1:32" x14ac:dyDescent="0.25">
      <c r="A254" s="20">
        <v>2000091</v>
      </c>
      <c r="B254" s="21" t="s">
        <v>234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3">
        <v>4740.98</v>
      </c>
      <c r="AC254" s="50">
        <v>5.5</v>
      </c>
      <c r="AD254" s="25">
        <v>26075.39</v>
      </c>
      <c r="AE254" s="58"/>
      <c r="AF254" s="46"/>
    </row>
    <row r="255" spans="1:32" x14ac:dyDescent="0.25">
      <c r="A255" s="20">
        <v>2000531</v>
      </c>
      <c r="B255" s="21" t="s">
        <v>235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3">
        <v>15.13</v>
      </c>
      <c r="AC255" s="50">
        <v>7.4</v>
      </c>
      <c r="AD255" s="25">
        <v>111.96200000000002</v>
      </c>
      <c r="AE255" s="58"/>
      <c r="AF255" s="42"/>
    </row>
    <row r="256" spans="1:33" x14ac:dyDescent="0.25">
      <c r="A256" s="54">
        <v>2366095</v>
      </c>
      <c r="B256" s="55" t="s">
        <v>236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3">
        <f t="shared" si="16"/>
        <v>0</v>
      </c>
      <c r="AC256" s="50">
        <v>9.6</v>
      </c>
      <c r="AD256" s="25">
        <f t="shared" si="17"/>
        <v>0</v>
      </c>
      <c r="AE256" s="51">
        <f>-envases!DY19*AB256</f>
        <v>0</v>
      </c>
      <c r="AF256" s="46">
        <f>AD256*0.03</f>
        <v>0</v>
      </c>
      <c r="AG256" s="49">
        <f>-AD256*0.015</f>
        <v>0</v>
      </c>
    </row>
    <row r="257" spans="1:33" x14ac:dyDescent="0.25">
      <c r="A257" s="54">
        <v>2366136</v>
      </c>
      <c r="B257" s="55" t="s">
        <v>237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3">
        <f t="shared" si="16"/>
        <v>0</v>
      </c>
      <c r="AC257" s="50">
        <v>6.7</v>
      </c>
      <c r="AD257" s="25">
        <f t="shared" si="17"/>
        <v>0</v>
      </c>
      <c r="AE257" s="51">
        <f>-envases!DY38*AB257</f>
        <v>0</v>
      </c>
      <c r="AF257" s="46">
        <f t="shared" ref="AF257:AF296" si="20">AD257*0.03</f>
        <v>0</v>
      </c>
      <c r="AG257" s="49">
        <f t="shared" ref="AG257:AG296" si="21">-AD257*0.015</f>
        <v>0</v>
      </c>
    </row>
    <row r="258" spans="1:33" x14ac:dyDescent="0.25">
      <c r="A258" s="54">
        <v>3193072</v>
      </c>
      <c r="B258" s="55" t="s">
        <v>238</v>
      </c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3">
        <v>1401.79</v>
      </c>
      <c r="AC258" s="50">
        <v>4.5</v>
      </c>
      <c r="AD258" s="25">
        <v>6308.055</v>
      </c>
      <c r="AE258" s="48">
        <f>-envases!$CZ$19*AB258</f>
        <v>-598.3242919598351</v>
      </c>
      <c r="AF258" s="46">
        <v>189.24165</v>
      </c>
      <c r="AG258" s="49">
        <v>-94.620825</v>
      </c>
    </row>
    <row r="259" spans="1:33" x14ac:dyDescent="0.25">
      <c r="A259" s="54">
        <v>3194572</v>
      </c>
      <c r="B259" s="55" t="s">
        <v>239</v>
      </c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3">
        <v>2218.3199999999997</v>
      </c>
      <c r="AC259" s="50">
        <v>4.5</v>
      </c>
      <c r="AD259" s="25">
        <v>9982.439999999999</v>
      </c>
      <c r="AE259" s="51">
        <f>-envases!CZ35*AB259</f>
        <v>-659.4988380942402</v>
      </c>
      <c r="AF259" s="46">
        <v>299.47319999999996</v>
      </c>
      <c r="AG259" s="49">
        <v>-149.73659999999998</v>
      </c>
    </row>
    <row r="260" spans="1:33" x14ac:dyDescent="0.25">
      <c r="A260" s="54">
        <v>3516193</v>
      </c>
      <c r="B260" s="55" t="s">
        <v>240</v>
      </c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3">
        <f t="shared" si="16"/>
        <v>0</v>
      </c>
      <c r="AC260" s="50">
        <v>13.6</v>
      </c>
      <c r="AD260" s="25">
        <f t="shared" si="17"/>
        <v>0</v>
      </c>
      <c r="AE260" s="48">
        <f>-envases!$BQ$62*AB260</f>
        <v>0</v>
      </c>
      <c r="AF260" s="46">
        <f t="shared" si="20"/>
        <v>0</v>
      </c>
      <c r="AG260" s="49">
        <f t="shared" si="21"/>
        <v>0</v>
      </c>
    </row>
    <row r="261" spans="1:33" x14ac:dyDescent="0.25">
      <c r="A261" s="54">
        <v>3516360</v>
      </c>
      <c r="B261" s="55" t="s">
        <v>241</v>
      </c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3">
        <v>22.1</v>
      </c>
      <c r="AC261" s="50">
        <v>20.925</v>
      </c>
      <c r="AD261" s="25">
        <v>462.44250000000005</v>
      </c>
      <c r="AE261" s="48">
        <f>-envases!$BQ$22*AB261</f>
        <v>-6.9023075209397105</v>
      </c>
      <c r="AF261" s="46">
        <v>13.873275000000001</v>
      </c>
      <c r="AG261" s="49">
        <v>-6.936637500000001</v>
      </c>
    </row>
    <row r="262" spans="1:33" x14ac:dyDescent="0.25">
      <c r="A262" s="54">
        <v>3516460</v>
      </c>
      <c r="B262" s="55" t="s">
        <v>242</v>
      </c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3">
        <f t="shared" si="16"/>
        <v>0</v>
      </c>
      <c r="AC262" s="50">
        <v>14.2</v>
      </c>
      <c r="AD262" s="25">
        <f t="shared" si="17"/>
        <v>0</v>
      </c>
      <c r="AE262" s="48">
        <f>-envases!$BQ$42*AB262</f>
        <v>0</v>
      </c>
      <c r="AF262" s="46">
        <f t="shared" si="20"/>
        <v>0</v>
      </c>
      <c r="AG262" s="49">
        <f t="shared" si="21"/>
        <v>0</v>
      </c>
    </row>
    <row r="263" spans="1:33" x14ac:dyDescent="0.25">
      <c r="A263" s="54">
        <v>3627032</v>
      </c>
      <c r="B263" s="55" t="s">
        <v>243</v>
      </c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3">
        <f t="shared" si="16"/>
        <v>0</v>
      </c>
      <c r="AC263" s="50">
        <v>13.5</v>
      </c>
      <c r="AD263" s="25">
        <f t="shared" si="17"/>
        <v>0</v>
      </c>
      <c r="AE263" s="51">
        <f>-envases!CP226*AB263</f>
        <v>0</v>
      </c>
      <c r="AF263" s="46">
        <f t="shared" si="20"/>
        <v>0</v>
      </c>
      <c r="AG263" s="49">
        <f t="shared" si="21"/>
        <v>0</v>
      </c>
    </row>
    <row r="264" spans="1:33" x14ac:dyDescent="0.25">
      <c r="A264" s="54">
        <v>3627516</v>
      </c>
      <c r="B264" s="55" t="s">
        <v>95</v>
      </c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3"/>
      <c r="AC264" s="50"/>
      <c r="AD264" s="25"/>
      <c r="AE264" s="51"/>
      <c r="AF264" s="46"/>
      <c r="AG264" s="49"/>
    </row>
    <row r="265" spans="1:33" x14ac:dyDescent="0.25">
      <c r="A265" s="54">
        <v>3673130</v>
      </c>
      <c r="B265" s="55" t="s">
        <v>244</v>
      </c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3">
        <f t="shared" si="16"/>
        <v>0</v>
      </c>
      <c r="AC265" s="50">
        <v>22.5</v>
      </c>
      <c r="AD265" s="25">
        <f t="shared" si="17"/>
        <v>0</v>
      </c>
      <c r="AE265" s="51">
        <f>-envases!AR130*AB265</f>
        <v>0</v>
      </c>
      <c r="AF265" s="46">
        <f t="shared" si="20"/>
        <v>0</v>
      </c>
      <c r="AG265" s="49">
        <f t="shared" si="21"/>
        <v>0</v>
      </c>
    </row>
    <row r="266" spans="1:33" x14ac:dyDescent="0.25">
      <c r="A266" s="54">
        <v>3673760</v>
      </c>
      <c r="B266" s="55" t="s">
        <v>245</v>
      </c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3">
        <f t="shared" si="16"/>
        <v>0</v>
      </c>
      <c r="AC266" s="50">
        <v>12.725</v>
      </c>
      <c r="AD266" s="25">
        <f t="shared" si="17"/>
        <v>0</v>
      </c>
      <c r="AE266" s="48">
        <f>-envases!$AR$59*AB266</f>
        <v>0</v>
      </c>
      <c r="AF266" s="46">
        <f t="shared" si="20"/>
        <v>0</v>
      </c>
      <c r="AG266" s="49">
        <f t="shared" si="21"/>
        <v>0</v>
      </c>
    </row>
    <row r="267" spans="1:33" x14ac:dyDescent="0.25">
      <c r="A267" s="54">
        <v>3673916</v>
      </c>
      <c r="B267" s="55" t="s">
        <v>246</v>
      </c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3">
        <v>35.41</v>
      </c>
      <c r="AC267" s="50">
        <v>32.5</v>
      </c>
      <c r="AD267" s="25">
        <v>1150.8249999999998</v>
      </c>
      <c r="AE267" s="48">
        <f>-envases!$AR$22*AB267</f>
        <v>-21.093612021179585</v>
      </c>
      <c r="AF267" s="46">
        <v>34.52474999999999</v>
      </c>
      <c r="AG267" s="49">
        <v>-17.262374999999995</v>
      </c>
    </row>
    <row r="268" spans="1:33" x14ac:dyDescent="0.25">
      <c r="A268" s="54">
        <v>3673931</v>
      </c>
      <c r="B268" s="55" t="s">
        <v>247</v>
      </c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3">
        <v>10.87</v>
      </c>
      <c r="AC268" s="50">
        <v>21</v>
      </c>
      <c r="AD268" s="25">
        <v>228.26999999999998</v>
      </c>
      <c r="AE268" s="48">
        <f>-envases!$AR$42*AB268</f>
        <v>-7.726115529887973</v>
      </c>
      <c r="AF268" s="46">
        <v>6.8481</v>
      </c>
      <c r="AG268" s="49">
        <v>-3.42405</v>
      </c>
    </row>
    <row r="269" spans="1:33" x14ac:dyDescent="0.25">
      <c r="A269" s="54">
        <v>4516060</v>
      </c>
      <c r="B269" s="55" t="s">
        <v>248</v>
      </c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3">
        <v>1903.9299999999998</v>
      </c>
      <c r="AC269" s="50">
        <v>12.925</v>
      </c>
      <c r="AD269" s="25">
        <v>24608.29525</v>
      </c>
      <c r="AE269" s="48">
        <f>-envases!$BV$62*AB269</f>
        <v>-647.3171514297975</v>
      </c>
      <c r="AF269" s="46">
        <v>738.2488575</v>
      </c>
      <c r="AG269" s="49">
        <v>-369.12442875</v>
      </c>
    </row>
    <row r="270" spans="1:33" x14ac:dyDescent="0.25">
      <c r="A270" s="54">
        <v>4516093</v>
      </c>
      <c r="B270" s="55" t="s">
        <v>249</v>
      </c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3">
        <v>236.37</v>
      </c>
      <c r="AC270" s="50">
        <v>15</v>
      </c>
      <c r="AD270" s="25">
        <v>3545.55</v>
      </c>
      <c r="AE270" s="48">
        <f>-envases!$BV$22*AB270</f>
        <v>-76.8543428652068</v>
      </c>
      <c r="AF270" s="46">
        <v>106.3665</v>
      </c>
      <c r="AG270" s="49">
        <v>-53.18325</v>
      </c>
    </row>
    <row r="271" spans="1:33" x14ac:dyDescent="0.25">
      <c r="A271" s="54">
        <v>4516139</v>
      </c>
      <c r="B271" s="55" t="s">
        <v>250</v>
      </c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3">
        <v>1003.0200000000001</v>
      </c>
      <c r="AC271" s="50">
        <v>8.8</v>
      </c>
      <c r="AD271" s="25">
        <v>8826.576000000001</v>
      </c>
      <c r="AE271" s="51">
        <f>-envases!AM208*AB271</f>
        <v>-239.7358801463059</v>
      </c>
      <c r="AF271" s="46">
        <v>264.79728</v>
      </c>
      <c r="AG271" s="49">
        <v>-132.39864</v>
      </c>
    </row>
    <row r="272" spans="1:33" x14ac:dyDescent="0.25">
      <c r="A272" s="54">
        <v>4516160</v>
      </c>
      <c r="B272" s="55" t="s">
        <v>251</v>
      </c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3">
        <v>2745.62</v>
      </c>
      <c r="AC272" s="53">
        <v>10.567568</v>
      </c>
      <c r="AD272" s="25">
        <v>29014.52605216</v>
      </c>
      <c r="AE272" s="48">
        <f>-envases!$BV$42*AB272</f>
        <v>-933.4833304316234</v>
      </c>
      <c r="AF272" s="46">
        <v>870.4357815648</v>
      </c>
      <c r="AG272" s="49">
        <v>-435.2178907824</v>
      </c>
    </row>
    <row r="273" spans="1:33" x14ac:dyDescent="0.25">
      <c r="A273" s="54">
        <v>4543016</v>
      </c>
      <c r="B273" s="55" t="s">
        <v>95</v>
      </c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3"/>
      <c r="AC273" s="53"/>
      <c r="AD273" s="25"/>
      <c r="AE273" s="48"/>
      <c r="AF273" s="46"/>
      <c r="AG273" s="49"/>
    </row>
    <row r="274" spans="1:33" x14ac:dyDescent="0.25">
      <c r="A274" s="54">
        <v>4543025</v>
      </c>
      <c r="B274" s="55" t="s">
        <v>252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3">
        <v>11.43</v>
      </c>
      <c r="AC274" s="53">
        <v>16</v>
      </c>
      <c r="AD274" s="25">
        <v>182.88</v>
      </c>
      <c r="AE274" s="48">
        <f>-envases!CA105*AB274</f>
        <v>-5.499033622941788</v>
      </c>
      <c r="AF274" s="46">
        <f t="shared" ref="AF274:AF275" si="22">AD274*0.03</f>
        <v>5.4864</v>
      </c>
      <c r="AG274" s="49">
        <f t="shared" ref="AG274:AG275" si="23">-AD274*0.015</f>
        <v>-2.7432</v>
      </c>
    </row>
    <row r="275" spans="1:33" x14ac:dyDescent="0.25">
      <c r="A275" s="54">
        <v>4543032</v>
      </c>
      <c r="B275" s="55" t="s">
        <v>243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3">
        <v>15.75</v>
      </c>
      <c r="AC275" s="53">
        <v>11</v>
      </c>
      <c r="AD275" s="25">
        <v>173.25</v>
      </c>
      <c r="AE275" s="48">
        <f>-envases!CA188*AB275</f>
        <v>-4.359529791887876</v>
      </c>
      <c r="AF275" s="46">
        <v>5.1975</v>
      </c>
      <c r="AG275" s="49">
        <v>-2.59875</v>
      </c>
    </row>
    <row r="276" spans="1:33" x14ac:dyDescent="0.25">
      <c r="A276" s="54">
        <v>4545024</v>
      </c>
      <c r="B276" s="55" t="s">
        <v>253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3">
        <f t="shared" si="16"/>
        <v>0</v>
      </c>
      <c r="AC276" s="50">
        <v>12.5</v>
      </c>
      <c r="AD276" s="25">
        <f t="shared" si="17"/>
        <v>0</v>
      </c>
      <c r="AE276" s="48">
        <f>-envases!$CF$201*AB276</f>
        <v>0</v>
      </c>
      <c r="AF276" s="46">
        <f t="shared" si="20"/>
        <v>0</v>
      </c>
      <c r="AG276" s="49">
        <f t="shared" si="21"/>
        <v>0</v>
      </c>
    </row>
    <row r="277" spans="1:33" x14ac:dyDescent="0.25">
      <c r="A277" s="54">
        <v>4545070</v>
      </c>
      <c r="B277" s="55" t="s">
        <v>254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3">
        <v>83.08</v>
      </c>
      <c r="AC277" s="50">
        <v>18.8</v>
      </c>
      <c r="AD277" s="25">
        <v>1561.904</v>
      </c>
      <c r="AE277" s="48">
        <f>-envases!$CF$101*AB277</f>
        <v>-61.13523144668921</v>
      </c>
      <c r="AF277" s="46">
        <v>46.857119999999995</v>
      </c>
      <c r="AG277" s="49">
        <v>-23.428559999999997</v>
      </c>
    </row>
    <row r="278" spans="1:33" x14ac:dyDescent="0.25">
      <c r="A278" s="54">
        <v>4545132</v>
      </c>
      <c r="B278" s="55" t="s">
        <v>255</v>
      </c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3">
        <f t="shared" si="16"/>
        <v>0</v>
      </c>
      <c r="AC278" s="50">
        <v>20.3</v>
      </c>
      <c r="AD278" s="25">
        <f t="shared" si="17"/>
        <v>0</v>
      </c>
      <c r="AE278" s="51">
        <f>-envases!CF201*AB278</f>
        <v>0</v>
      </c>
      <c r="AF278" s="46">
        <f t="shared" si="20"/>
        <v>0</v>
      </c>
      <c r="AG278" s="49">
        <f t="shared" si="21"/>
        <v>0</v>
      </c>
    </row>
    <row r="279" spans="1:33" x14ac:dyDescent="0.25">
      <c r="A279" s="54">
        <v>4545816</v>
      </c>
      <c r="B279" s="55" t="s">
        <v>256</v>
      </c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3">
        <f t="shared" si="16"/>
        <v>0</v>
      </c>
      <c r="AC279" s="50">
        <v>28</v>
      </c>
      <c r="AD279" s="25">
        <f t="shared" si="17"/>
        <v>0</v>
      </c>
      <c r="AE279" s="48">
        <f>-envases!$CF$121*AB279</f>
        <v>0</v>
      </c>
      <c r="AF279" s="46">
        <f t="shared" si="20"/>
        <v>0</v>
      </c>
      <c r="AG279" s="49">
        <f t="shared" si="21"/>
        <v>0</v>
      </c>
    </row>
    <row r="280" spans="1:33" x14ac:dyDescent="0.25">
      <c r="A280" s="54">
        <v>4545913</v>
      </c>
      <c r="B280" s="55" t="s">
        <v>257</v>
      </c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3">
        <f t="shared" si="16"/>
        <v>0</v>
      </c>
      <c r="AC280" s="50">
        <v>20</v>
      </c>
      <c r="AD280" s="25">
        <f t="shared" si="17"/>
        <v>0</v>
      </c>
      <c r="AE280" s="48">
        <f>-envases!$CF$141*AB280</f>
        <v>0</v>
      </c>
      <c r="AF280" s="46">
        <f t="shared" si="20"/>
        <v>0</v>
      </c>
      <c r="AG280" s="49">
        <f t="shared" si="21"/>
        <v>0</v>
      </c>
    </row>
    <row r="281" spans="1:33" x14ac:dyDescent="0.25">
      <c r="A281" s="54">
        <v>4545931</v>
      </c>
      <c r="B281" s="55" t="s">
        <v>258</v>
      </c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3">
        <f t="shared" si="16"/>
        <v>0</v>
      </c>
      <c r="AC281" s="50">
        <v>23</v>
      </c>
      <c r="AD281" s="25">
        <f t="shared" si="17"/>
        <v>0</v>
      </c>
      <c r="AE281" s="48">
        <f>-envases!$CF$161*AB281</f>
        <v>0</v>
      </c>
      <c r="AF281" s="46">
        <f t="shared" si="20"/>
        <v>0</v>
      </c>
      <c r="AG281" s="49">
        <f t="shared" si="21"/>
        <v>0</v>
      </c>
    </row>
    <row r="282" spans="1:33" x14ac:dyDescent="0.25">
      <c r="A282" s="54">
        <v>4545960</v>
      </c>
      <c r="B282" s="55" t="s">
        <v>259</v>
      </c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3">
        <v>94.64000000000001</v>
      </c>
      <c r="AC282" s="50">
        <v>20.5</v>
      </c>
      <c r="AD282" s="25">
        <v>1940.1200000000003</v>
      </c>
      <c r="AE282" s="48">
        <f>-envases!$CF$61*AB282</f>
        <v>-42.43870842167027</v>
      </c>
      <c r="AF282" s="46">
        <v>58.20360000000001</v>
      </c>
      <c r="AG282" s="49">
        <v>-29.101800000000004</v>
      </c>
    </row>
    <row r="283" spans="1:33" x14ac:dyDescent="0.25">
      <c r="A283" s="54">
        <v>4546013</v>
      </c>
      <c r="B283" s="55" t="s">
        <v>260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3">
        <f t="shared" ref="AB283:AB297" si="24">SUM(C283:AA283)</f>
        <v>0</v>
      </c>
      <c r="AC283" s="50">
        <v>35</v>
      </c>
      <c r="AD283" s="25">
        <f t="shared" si="17"/>
        <v>0</v>
      </c>
      <c r="AE283" s="48">
        <f>-envases!$CK$142*AB283</f>
        <v>0</v>
      </c>
      <c r="AF283" s="46">
        <f t="shared" si="20"/>
        <v>0</v>
      </c>
      <c r="AG283" s="49">
        <f t="shared" si="21"/>
        <v>0</v>
      </c>
    </row>
    <row r="284" spans="1:33" x14ac:dyDescent="0.25">
      <c r="A284" s="54">
        <v>4546070</v>
      </c>
      <c r="B284" s="55" t="s">
        <v>261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3">
        <f t="shared" si="24"/>
        <v>0</v>
      </c>
      <c r="AC284" s="50">
        <v>38</v>
      </c>
      <c r="AD284" s="25">
        <f t="shared" si="17"/>
        <v>0</v>
      </c>
      <c r="AE284" s="48">
        <f>-envases!$CK$82*AB284</f>
        <v>0</v>
      </c>
      <c r="AF284" s="46">
        <f t="shared" si="20"/>
        <v>0</v>
      </c>
      <c r="AG284" s="49">
        <f t="shared" si="21"/>
        <v>0</v>
      </c>
    </row>
    <row r="285" spans="1:33" x14ac:dyDescent="0.25">
      <c r="A285" s="54">
        <v>4546916</v>
      </c>
      <c r="B285" s="55" t="s">
        <v>262</v>
      </c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3">
        <v>4.05</v>
      </c>
      <c r="AC285" s="50">
        <v>55</v>
      </c>
      <c r="AD285" s="25">
        <v>222.75</v>
      </c>
      <c r="AE285" s="48">
        <f>-envases!$CK$102*AB285</f>
        <v>-5.567421163021905</v>
      </c>
      <c r="AF285" s="46">
        <v>6.6825</v>
      </c>
      <c r="AG285" s="49">
        <v>-3.34125</v>
      </c>
    </row>
    <row r="286" spans="1:33" x14ac:dyDescent="0.25">
      <c r="A286" s="54">
        <v>4861032</v>
      </c>
      <c r="B286" s="55" t="s">
        <v>263</v>
      </c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3">
        <v>302.76</v>
      </c>
      <c r="AC286" s="50">
        <v>14</v>
      </c>
      <c r="AD286" s="25">
        <v>4238.639999999999</v>
      </c>
      <c r="AE286" s="48">
        <f>-envases!DE40*AB286</f>
        <v>-102.28413725178395</v>
      </c>
      <c r="AF286" s="46">
        <f t="shared" ref="AF286:AF287" si="25">AD286*0.03</f>
        <v>127.15919999999998</v>
      </c>
      <c r="AG286" s="49">
        <f t="shared" ref="AG286:AG287" si="26">-AD286*0.015</f>
        <v>-63.57959999999999</v>
      </c>
    </row>
    <row r="287" spans="1:33" x14ac:dyDescent="0.25">
      <c r="A287" s="54">
        <v>4865024</v>
      </c>
      <c r="B287" s="55" t="s">
        <v>264</v>
      </c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3">
        <v>6471.99</v>
      </c>
      <c r="AC287" s="50">
        <v>11.5</v>
      </c>
      <c r="AD287" s="25">
        <f t="shared" ref="AD287:AD296" si="27">AB287*AC287</f>
        <v>74427.885</v>
      </c>
      <c r="AE287" s="51">
        <f>-envases!CP204*AB287</f>
        <v>-2436.467908916339</v>
      </c>
      <c r="AF287" s="46">
        <v>2232.8365499999995</v>
      </c>
      <c r="AG287" s="49">
        <v>-1116.4182749999998</v>
      </c>
    </row>
    <row r="288" spans="1:33" x14ac:dyDescent="0.25">
      <c r="A288" s="54">
        <v>4865060</v>
      </c>
      <c r="B288" s="55" t="s">
        <v>265</v>
      </c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3">
        <f t="shared" si="24"/>
        <v>0</v>
      </c>
      <c r="AC288" s="50">
        <v>15.5</v>
      </c>
      <c r="AD288" s="25">
        <f t="shared" si="27"/>
        <v>0</v>
      </c>
      <c r="AE288" s="48">
        <f>-envases!CP183*AB288</f>
        <v>0</v>
      </c>
      <c r="AF288" s="46">
        <f t="shared" si="20"/>
        <v>0</v>
      </c>
      <c r="AG288" s="49">
        <f t="shared" si="21"/>
        <v>0</v>
      </c>
    </row>
    <row r="289" spans="1:33" x14ac:dyDescent="0.25">
      <c r="A289" s="54">
        <v>4865125</v>
      </c>
      <c r="B289" s="55" t="s">
        <v>266</v>
      </c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3">
        <v>2246.81</v>
      </c>
      <c r="AC289" s="50">
        <v>16</v>
      </c>
      <c r="AD289" s="25">
        <v>35948.96</v>
      </c>
      <c r="AE289" s="51">
        <f>-envases!CP101*AB289</f>
        <v>-845.8419222576549</v>
      </c>
      <c r="AF289" s="46">
        <v>1078.4687999999999</v>
      </c>
      <c r="AG289" s="49">
        <v>-539.2343999999999</v>
      </c>
    </row>
    <row r="290" spans="1:33" x14ac:dyDescent="0.25">
      <c r="A290" s="54">
        <v>4865132</v>
      </c>
      <c r="B290" s="55" t="s">
        <v>267</v>
      </c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3">
        <f t="shared" si="24"/>
        <v>0</v>
      </c>
      <c r="AC290" s="50">
        <v>16.3</v>
      </c>
      <c r="AD290" s="25">
        <f t="shared" si="27"/>
        <v>0</v>
      </c>
      <c r="AE290" s="48">
        <f>-envases!$CP$101*AB290</f>
        <v>0</v>
      </c>
      <c r="AF290" s="46">
        <f t="shared" si="20"/>
        <v>0</v>
      </c>
      <c r="AG290" s="49">
        <f t="shared" si="21"/>
        <v>0</v>
      </c>
    </row>
    <row r="291" spans="1:33" x14ac:dyDescent="0.25">
      <c r="A291" s="54">
        <v>5516193</v>
      </c>
      <c r="B291" s="55" t="s">
        <v>268</v>
      </c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3">
        <f t="shared" si="24"/>
        <v>0</v>
      </c>
      <c r="AC291" s="50">
        <v>23.8</v>
      </c>
      <c r="AD291" s="25">
        <f t="shared" si="27"/>
        <v>0</v>
      </c>
      <c r="AE291" s="48">
        <f>-envases!$DJ$20*AB291</f>
        <v>0</v>
      </c>
      <c r="AF291" s="46">
        <f t="shared" si="20"/>
        <v>0</v>
      </c>
      <c r="AG291" s="49">
        <f t="shared" si="21"/>
        <v>0</v>
      </c>
    </row>
    <row r="292" spans="1:33" x14ac:dyDescent="0.25">
      <c r="A292" s="54">
        <v>5516193</v>
      </c>
      <c r="B292" s="55" t="s">
        <v>269</v>
      </c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3">
        <f t="shared" si="24"/>
        <v>0</v>
      </c>
      <c r="AC292" s="50">
        <v>23.8</v>
      </c>
      <c r="AD292" s="25">
        <f t="shared" si="27"/>
        <v>0</v>
      </c>
      <c r="AE292" s="48">
        <f>-envases!$DJ$20*AB292</f>
        <v>0</v>
      </c>
      <c r="AF292" s="46">
        <f t="shared" si="20"/>
        <v>0</v>
      </c>
      <c r="AG292" s="49">
        <f t="shared" si="21"/>
        <v>0</v>
      </c>
    </row>
    <row r="293" spans="1:33" x14ac:dyDescent="0.25">
      <c r="A293" s="54">
        <v>5516239</v>
      </c>
      <c r="B293" s="55" t="s">
        <v>270</v>
      </c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3">
        <f t="shared" si="24"/>
        <v>0</v>
      </c>
      <c r="AC293" s="50">
        <v>9.9</v>
      </c>
      <c r="AD293" s="25">
        <f t="shared" si="27"/>
        <v>0</v>
      </c>
      <c r="AE293" s="51">
        <f>-envases!CK22*AB293</f>
        <v>0</v>
      </c>
      <c r="AF293" s="46">
        <f t="shared" si="20"/>
        <v>0</v>
      </c>
      <c r="AG293" s="49">
        <f t="shared" si="21"/>
        <v>0</v>
      </c>
    </row>
    <row r="294" spans="1:33" x14ac:dyDescent="0.25">
      <c r="A294" s="54">
        <v>5516560</v>
      </c>
      <c r="B294" s="55" t="s">
        <v>271</v>
      </c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3">
        <f t="shared" si="24"/>
        <v>0</v>
      </c>
      <c r="AC294" s="50">
        <v>29.3</v>
      </c>
      <c r="AD294" s="25">
        <f t="shared" si="27"/>
        <v>0</v>
      </c>
      <c r="AE294" s="48">
        <f>-envases!$DJ$57*AB294</f>
        <v>0</v>
      </c>
      <c r="AF294" s="46">
        <f t="shared" si="20"/>
        <v>0</v>
      </c>
      <c r="AG294" s="49">
        <f t="shared" si="21"/>
        <v>0</v>
      </c>
    </row>
    <row r="295" spans="1:33" x14ac:dyDescent="0.25">
      <c r="A295" s="54">
        <v>5516660</v>
      </c>
      <c r="B295" s="55" t="s">
        <v>272</v>
      </c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3">
        <f t="shared" si="24"/>
        <v>0</v>
      </c>
      <c r="AC295" s="50">
        <v>32.8</v>
      </c>
      <c r="AD295" s="25">
        <f t="shared" si="27"/>
        <v>0</v>
      </c>
      <c r="AE295" s="48">
        <f>-envases!$DJ$76*AB295</f>
        <v>0</v>
      </c>
      <c r="AF295" s="46">
        <f t="shared" si="20"/>
        <v>0</v>
      </c>
      <c r="AG295" s="49">
        <f t="shared" si="21"/>
        <v>0</v>
      </c>
    </row>
    <row r="296" spans="1:33" x14ac:dyDescent="0.25">
      <c r="A296" s="54">
        <v>5687036</v>
      </c>
      <c r="B296" s="55" t="s">
        <v>273</v>
      </c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3">
        <f t="shared" si="24"/>
        <v>0</v>
      </c>
      <c r="AC296" s="45">
        <v>6.19</v>
      </c>
      <c r="AD296" s="25">
        <f t="shared" si="27"/>
        <v>0</v>
      </c>
      <c r="AE296" s="48">
        <f>-envases!$AW$23*AB296</f>
        <v>0</v>
      </c>
      <c r="AF296" s="46">
        <f t="shared" si="20"/>
        <v>0</v>
      </c>
      <c r="AG296" s="49">
        <f t="shared" si="21"/>
        <v>0</v>
      </c>
    </row>
    <row r="297" ht="13.5" customHeight="1" spans="1:64" x14ac:dyDescent="0.25">
      <c r="A297" s="62"/>
      <c r="B297" s="62" t="s">
        <v>133</v>
      </c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4">
        <v>248308.73999999993</v>
      </c>
      <c r="AC297" s="32"/>
      <c r="AD297" s="65">
        <f>SUM(AD135:AD296)</f>
        <v>1934154.6292466687</v>
      </c>
      <c r="AE297" s="48">
        <f>SUM(AE135:AE296)</f>
        <v>-46947.211045450545</v>
      </c>
      <c r="AF297" s="66">
        <f>SUM(AF135:AF296)</f>
        <v>31269.6019470648</v>
      </c>
      <c r="AG297" s="67">
        <f>SUM(AG135:AG296)</f>
        <v>-15634.8009735324</v>
      </c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</row>
    <row r="298" spans="1:64" x14ac:dyDescent="0.25">
      <c r="A298" s="32"/>
      <c r="B298" s="68" t="s">
        <v>274</v>
      </c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70">
        <f>AB131-AB297</f>
        <v>2711.810000000056</v>
      </c>
      <c r="AC298" s="32"/>
      <c r="AD298" s="71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</row>
    <row r="299" spans="2:32" x14ac:dyDescent="0.25">
      <c r="B299" s="72" t="s">
        <v>275</v>
      </c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5">
        <f>AB297/AB131</f>
        <v>0.9891968605757574</v>
      </c>
      <c r="AD299" s="76"/>
      <c r="AF299" s="32"/>
    </row>
    <row r="300" spans="2:28" x14ac:dyDescent="0.25">
      <c r="B300" s="77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 t="s">
        <v>276</v>
      </c>
    </row>
    <row r="301" ht="12.75" customHeight="1" spans="2:28" x14ac:dyDescent="0.25">
      <c r="B301" s="79" t="s">
        <v>277</v>
      </c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1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 t="s">
        <v>278</v>
      </c>
    </row>
    <row r="302" spans="2:30" x14ac:dyDescent="0.25">
      <c r="B302" s="82" t="s">
        <v>279</v>
      </c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4">
        <f>SUM(C302:AA302)</f>
        <v>4224</v>
      </c>
      <c r="AC302" s="85">
        <f>'mano de obra'!J14</f>
        <v>8.620268322628458</v>
      </c>
      <c r="AD302" s="86">
        <f>-AB302*AC302</f>
        <v>-36412.01339478261</v>
      </c>
    </row>
    <row r="303" spans="2:30" x14ac:dyDescent="0.25">
      <c r="B303" s="82" t="s">
        <v>280</v>
      </c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4">
        <f>SUM(C303:AA303)</f>
        <v>12432</v>
      </c>
      <c r="AC303" s="85">
        <f>'mano de obra'!J17</f>
        <v>10.310029644268775</v>
      </c>
      <c r="AD303" s="86">
        <f>-AB303*AC303</f>
        <v>-128174.28853754941</v>
      </c>
    </row>
    <row r="304" spans="2:31" x14ac:dyDescent="0.25">
      <c r="B304" s="88" t="s">
        <v>281</v>
      </c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4">
        <f>SUM(C304:AA304)</f>
        <v>16656</v>
      </c>
      <c r="AD304" s="86">
        <f>SUM(AD302:AD303)</f>
        <v>-164586.30193233202</v>
      </c>
      <c r="AE304" s="89">
        <f>AD304/AB297</f>
        <v>-0.6628292742830239</v>
      </c>
    </row>
    <row r="305" spans="3:27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3:30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82" t="s">
        <v>282</v>
      </c>
      <c r="AC306" s="87"/>
      <c r="AD306" s="90">
        <f>AE297</f>
        <v>-46947.211045450545</v>
      </c>
    </row>
    <row r="307" spans="3:30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82" t="s">
        <v>283</v>
      </c>
      <c r="AC307" s="87"/>
      <c r="AD307" s="90">
        <f>-0.1*AB297</f>
        <v>-24830.873999999996</v>
      </c>
    </row>
    <row r="308" spans="3:30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82" t="s">
        <v>284</v>
      </c>
      <c r="AC308" s="87"/>
      <c r="AD308" s="90">
        <f>AE304*AB297</f>
        <v>-164586.30193233202</v>
      </c>
    </row>
    <row r="309" spans="3:30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91" t="s">
        <v>285</v>
      </c>
      <c r="AC309" s="83"/>
      <c r="AD309" s="92">
        <f>-0.178*AB297</f>
        <v>-44198.95571999998</v>
      </c>
    </row>
    <row r="310" spans="3:27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3:27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31" x14ac:dyDescent="0.25">
      <c r="B312" s="1" t="s">
        <v>286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93">
        <f>SUM(AD12:AD123)</f>
        <v>-827313.6502521193</v>
      </c>
      <c r="AC312" s="93">
        <f>+AD297</f>
        <v>1934154.6292466687</v>
      </c>
      <c r="AD312" s="93">
        <f>+AB312+AC312</f>
        <v>1106840.9789945493</v>
      </c>
      <c r="AE312" s="94">
        <f>+AF297</f>
        <v>31269.6019470648</v>
      </c>
    </row>
    <row r="313" spans="2:31" x14ac:dyDescent="0.25">
      <c r="B313" s="1" t="s">
        <v>287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93">
        <f>-logs!AD59</f>
        <v>-1172456.3042657583</v>
      </c>
      <c r="AC313" s="95">
        <f>+logs!AD68</f>
        <v>1859590.93696</v>
      </c>
      <c r="AD313" s="93">
        <f>+AC313+AB313</f>
        <v>687134.6326942418</v>
      </c>
      <c r="AE313" s="95">
        <f>+logs!AE68</f>
        <v>55304.949508800004</v>
      </c>
    </row>
    <row r="314" spans="2:31" x14ac:dyDescent="0.25">
      <c r="B314" s="1" t="s">
        <v>288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D314" s="93">
        <f>SUM(AD312:AD313)</f>
        <v>1793975.611688791</v>
      </c>
      <c r="AE314" s="93">
        <f>SUM(AE312:AE313)</f>
        <v>86574.5514558648</v>
      </c>
    </row>
  </sheetData>
  <pageMargins left="0.25" right="0.25" top="0.75" bottom="0.75" header="0.3" footer="0.3"/>
  <pageSetup orientation="landscape" horizontalDpi="4294967295" verticalDpi="4294967295" scale="91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G132"/>
  <sheetViews>
    <sheetView workbookViewId="0" zoomScale="100" zoomScaleNormal="100">
      <pane ySplit="1" topLeftCell="A34" activePane="bottomLeft" state="frozen"/>
      <selection pane="bottomLeft" activeCell="B125" sqref="B125"/>
    </sheetView>
  </sheetViews>
  <sheetFormatPr defaultRowHeight="15" outlineLevelRow="0" outlineLevelCol="0" x14ac:dyDescent="0.25" defaultColWidth="11.42578125"/>
  <cols>
    <col min="1" max="1" width="21.7109375" style="1" customWidth="1"/>
    <col min="2" max="2" width="69.42578125" style="1" customWidth="1"/>
    <col min="3" max="14" width="9" style="96" hidden="1" customWidth="1"/>
    <col min="15" max="16" width="9" style="96" customWidth="1"/>
    <col min="30" max="30" width="12.42578125" customWidth="1"/>
  </cols>
  <sheetData>
    <row r="2" spans="1:30" x14ac:dyDescent="0.25">
      <c r="A2" s="97"/>
      <c r="B2" s="97" t="s">
        <v>289</v>
      </c>
      <c r="C2" s="98">
        <v>46235</v>
      </c>
      <c r="D2" s="98">
        <v>46237</v>
      </c>
      <c r="E2" s="98">
        <v>46238</v>
      </c>
      <c r="F2" s="98">
        <v>46239</v>
      </c>
      <c r="G2" s="98">
        <v>46240</v>
      </c>
      <c r="H2" s="98">
        <v>46241</v>
      </c>
      <c r="I2" s="98">
        <v>46242</v>
      </c>
      <c r="J2" s="98">
        <v>46244</v>
      </c>
      <c r="K2" s="98">
        <v>46245</v>
      </c>
      <c r="L2" s="98">
        <v>46246</v>
      </c>
      <c r="M2" s="98">
        <v>46247</v>
      </c>
      <c r="N2" s="98">
        <v>46248</v>
      </c>
      <c r="O2" s="98">
        <v>46249</v>
      </c>
      <c r="P2" s="98">
        <v>46251</v>
      </c>
      <c r="Q2" s="98">
        <v>46252</v>
      </c>
      <c r="R2" s="98">
        <v>46253</v>
      </c>
      <c r="S2" s="98">
        <v>46254</v>
      </c>
      <c r="T2" s="98">
        <v>46255</v>
      </c>
      <c r="U2" s="98">
        <v>46256</v>
      </c>
      <c r="V2" s="98">
        <v>46257</v>
      </c>
      <c r="W2" s="98">
        <v>46258</v>
      </c>
      <c r="X2" s="98">
        <v>46259</v>
      </c>
      <c r="Y2" s="98">
        <v>46260</v>
      </c>
      <c r="Z2" s="98">
        <v>46261</v>
      </c>
      <c r="AA2" s="98">
        <v>46262</v>
      </c>
      <c r="AB2" s="99" t="s">
        <v>3</v>
      </c>
      <c r="AC2" s="100" t="s">
        <v>4</v>
      </c>
      <c r="AD2" s="100" t="s">
        <v>5</v>
      </c>
    </row>
    <row r="3" spans="1:30" x14ac:dyDescent="0.25">
      <c r="A3" s="101" t="s">
        <v>290</v>
      </c>
      <c r="B3" s="102" t="s">
        <v>291</v>
      </c>
      <c r="C3" s="103" t="s">
        <v>8</v>
      </c>
      <c r="D3" s="103" t="s">
        <v>8</v>
      </c>
      <c r="E3" s="103" t="s">
        <v>8</v>
      </c>
      <c r="F3" s="103" t="s">
        <v>8</v>
      </c>
      <c r="G3" s="103" t="s">
        <v>8</v>
      </c>
      <c r="H3" s="103" t="s">
        <v>8</v>
      </c>
      <c r="I3" s="103" t="s">
        <v>8</v>
      </c>
      <c r="J3" s="103" t="s">
        <v>8</v>
      </c>
      <c r="K3" s="103" t="s">
        <v>8</v>
      </c>
      <c r="L3" s="103" t="s">
        <v>8</v>
      </c>
      <c r="M3" s="103" t="s">
        <v>8</v>
      </c>
      <c r="N3" s="103" t="s">
        <v>8</v>
      </c>
      <c r="O3" s="103" t="s">
        <v>8</v>
      </c>
      <c r="P3" s="103" t="s">
        <v>8</v>
      </c>
      <c r="Q3" s="103" t="s">
        <v>8</v>
      </c>
      <c r="R3" s="103" t="s">
        <v>8</v>
      </c>
      <c r="S3" s="103" t="s">
        <v>8</v>
      </c>
      <c r="T3" s="103" t="s">
        <v>8</v>
      </c>
      <c r="U3" s="103" t="s">
        <v>8</v>
      </c>
      <c r="V3" s="103" t="s">
        <v>8</v>
      </c>
      <c r="W3" s="103" t="s">
        <v>8</v>
      </c>
      <c r="X3" s="103" t="s">
        <v>8</v>
      </c>
      <c r="Y3" s="103" t="s">
        <v>8</v>
      </c>
      <c r="Z3" s="103" t="s">
        <v>8</v>
      </c>
      <c r="AA3" s="103" t="s">
        <v>8</v>
      </c>
      <c r="AB3" s="99" t="s">
        <v>8</v>
      </c>
      <c r="AC3" s="104" t="s">
        <v>9</v>
      </c>
      <c r="AD3" s="104" t="s">
        <v>9</v>
      </c>
    </row>
    <row r="4" spans="1:30" x14ac:dyDescent="0.25">
      <c r="A4" s="20">
        <v>3000</v>
      </c>
      <c r="B4" s="21" t="s">
        <v>10</v>
      </c>
      <c r="C4" s="29"/>
      <c r="D4" s="29"/>
      <c r="E4" s="29"/>
      <c r="F4" s="29">
        <v>538.1</v>
      </c>
      <c r="G4" s="29"/>
      <c r="H4" s="29"/>
      <c r="I4" s="29">
        <v>242</v>
      </c>
      <c r="J4" s="29">
        <v>262.2</v>
      </c>
      <c r="K4" s="29"/>
      <c r="L4" s="29"/>
      <c r="M4" s="29">
        <v>742.9</v>
      </c>
      <c r="N4" s="29"/>
      <c r="O4" s="29">
        <v>31.1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>
        <f t="shared" ref="AB4:AB32" si="0">SUM(C4:AA4)</f>
        <v>1816.2999999999997</v>
      </c>
      <c r="AC4" s="105">
        <f>-VNR!G5</f>
        <v>-4.150113668174813</v>
      </c>
      <c r="AD4" s="106">
        <f t="shared" ref="AD4:AD32" si="1">AB4*AC4</f>
        <v>-7537.851455505913</v>
      </c>
    </row>
    <row r="5" spans="1:32" x14ac:dyDescent="0.25">
      <c r="A5" s="20">
        <v>3001</v>
      </c>
      <c r="B5" s="21" t="s">
        <v>11</v>
      </c>
      <c r="C5" s="29"/>
      <c r="D5" s="29"/>
      <c r="E5" s="29">
        <v>1864.2</v>
      </c>
      <c r="F5" s="29"/>
      <c r="G5" s="29">
        <v>1375.5</v>
      </c>
      <c r="H5" s="29"/>
      <c r="I5" s="29">
        <v>1575.2</v>
      </c>
      <c r="J5" s="29">
        <v>3531.8</v>
      </c>
      <c r="K5" s="29"/>
      <c r="L5" s="29"/>
      <c r="M5" s="29">
        <v>3098.1</v>
      </c>
      <c r="N5" s="29">
        <v>1638.1</v>
      </c>
      <c r="O5" s="29">
        <v>1486.8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>
        <v>14569.7</v>
      </c>
      <c r="AC5" s="105">
        <f>-VNR!G4</f>
        <v>-4.215113668174813</v>
      </c>
      <c r="AD5" s="106">
        <v>-61412.941611206574</v>
      </c>
      <c r="AF5" s="107" t="s">
        <v>292</v>
      </c>
    </row>
    <row r="6" spans="1:32" x14ac:dyDescent="0.25">
      <c r="A6" s="20">
        <v>3011</v>
      </c>
      <c r="B6" s="21" t="s">
        <v>13</v>
      </c>
      <c r="C6" s="29"/>
      <c r="D6" s="29">
        <v>12629.9</v>
      </c>
      <c r="E6" s="29">
        <v>12628.9</v>
      </c>
      <c r="F6" s="29">
        <v>12379.2</v>
      </c>
      <c r="G6" s="29">
        <v>14195.5</v>
      </c>
      <c r="H6" s="29">
        <v>11974.4</v>
      </c>
      <c r="I6" s="29">
        <v>4156.7</v>
      </c>
      <c r="J6" s="29">
        <v>15211.2</v>
      </c>
      <c r="K6" s="29"/>
      <c r="L6" s="29">
        <v>14129.4</v>
      </c>
      <c r="M6" s="29">
        <v>3726.5</v>
      </c>
      <c r="N6" s="29">
        <v>6379.1</v>
      </c>
      <c r="O6" s="29">
        <v>8753.1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>
        <v>116163.90000000001</v>
      </c>
      <c r="AC6" s="105">
        <f>-hacienda!O19</f>
        <v>0</v>
      </c>
      <c r="AD6" s="106">
        <f t="shared" si="1"/>
        <v>0</v>
      </c>
      <c r="AF6" s="106">
        <f>+AC6*1.1391184*40.48</f>
        <v>0</v>
      </c>
    </row>
    <row r="7" spans="1:32" x14ac:dyDescent="0.25">
      <c r="A7" s="20">
        <v>3101</v>
      </c>
      <c r="B7" s="21" t="s">
        <v>293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>
        <f t="shared" si="0"/>
        <v>0</v>
      </c>
      <c r="AC7" s="105">
        <f>-VNR!G13</f>
        <v>-4.389194695842797</v>
      </c>
      <c r="AD7" s="106">
        <f t="shared" si="1"/>
        <v>0</v>
      </c>
      <c r="AF7" s="106"/>
    </row>
    <row r="8" spans="1:30" x14ac:dyDescent="0.25">
      <c r="A8" s="20">
        <v>3911</v>
      </c>
      <c r="B8" s="21" t="s">
        <v>294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>
        <f t="shared" si="0"/>
        <v>0</v>
      </c>
      <c r="AC8" s="105">
        <f>-VNR!G12</f>
        <v>-5.139194695842797</v>
      </c>
      <c r="AD8" s="106">
        <f t="shared" si="1"/>
        <v>0</v>
      </c>
    </row>
    <row r="9" spans="1:30" x14ac:dyDescent="0.25">
      <c r="A9" s="20">
        <v>4000</v>
      </c>
      <c r="B9" s="21" t="s">
        <v>15</v>
      </c>
      <c r="C9" s="29"/>
      <c r="D9" s="29">
        <v>1725.8</v>
      </c>
      <c r="E9" s="29"/>
      <c r="F9" s="29">
        <v>2000.7</v>
      </c>
      <c r="G9" s="29">
        <v>854.4</v>
      </c>
      <c r="H9" s="29">
        <v>1728.4</v>
      </c>
      <c r="I9" s="29">
        <v>1370.8</v>
      </c>
      <c r="J9" s="29">
        <v>290.3</v>
      </c>
      <c r="K9" s="29"/>
      <c r="L9" s="29">
        <v>832.7</v>
      </c>
      <c r="M9" s="29"/>
      <c r="N9" s="29">
        <v>2238.9</v>
      </c>
      <c r="O9" s="29">
        <v>439.3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>
        <v>11481.3</v>
      </c>
      <c r="AC9" s="105">
        <f>-VNR!G6</f>
        <v>-3.8501136681748123</v>
      </c>
      <c r="AD9" s="106">
        <v>-44204.31005841547</v>
      </c>
    </row>
    <row r="10" spans="1:30" x14ac:dyDescent="0.25">
      <c r="A10" s="20">
        <v>4010</v>
      </c>
      <c r="B10" s="21" t="s">
        <v>17</v>
      </c>
      <c r="C10" s="29"/>
      <c r="D10" s="29">
        <v>5699.9</v>
      </c>
      <c r="E10" s="29">
        <v>5970</v>
      </c>
      <c r="F10" s="29">
        <v>4718.8</v>
      </c>
      <c r="G10" s="29"/>
      <c r="H10" s="29">
        <v>3910</v>
      </c>
      <c r="I10" s="29">
        <v>2466.7</v>
      </c>
      <c r="J10" s="29">
        <v>1743.5</v>
      </c>
      <c r="K10" s="29"/>
      <c r="L10" s="29">
        <v>5070.1</v>
      </c>
      <c r="M10" s="29">
        <v>2739.1</v>
      </c>
      <c r="N10" s="29">
        <v>2512.4</v>
      </c>
      <c r="O10" s="29">
        <v>3010.8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>
        <v>37841.3</v>
      </c>
      <c r="AC10" s="105">
        <f>-VNR!G7</f>
        <v>-4.550113668174813</v>
      </c>
      <c r="AD10" s="106">
        <v>-172182.21635150356</v>
      </c>
    </row>
    <row r="11" spans="1:30" x14ac:dyDescent="0.25">
      <c r="A11" s="20">
        <v>980039</v>
      </c>
      <c r="B11" s="21" t="s">
        <v>53</v>
      </c>
      <c r="C11" s="29"/>
      <c r="D11" s="29">
        <v>47.47</v>
      </c>
      <c r="E11" s="29">
        <v>30.61</v>
      </c>
      <c r="F11" s="29">
        <v>30.97</v>
      </c>
      <c r="G11" s="29">
        <v>35.64</v>
      </c>
      <c r="H11" s="29">
        <v>34.38</v>
      </c>
      <c r="I11" s="29">
        <v>3.82</v>
      </c>
      <c r="J11" s="29"/>
      <c r="K11" s="29">
        <v>271.9</v>
      </c>
      <c r="L11" s="29">
        <v>22</v>
      </c>
      <c r="M11" s="29">
        <v>1179.69</v>
      </c>
      <c r="N11" s="29">
        <v>359.04</v>
      </c>
      <c r="O11" s="29">
        <v>88.05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>
        <v>2103.57</v>
      </c>
      <c r="AC11" s="105">
        <f>+AC9</f>
        <v>-3.8501136681748123</v>
      </c>
      <c r="AD11" s="106">
        <v>-8098.9836089624905</v>
      </c>
    </row>
    <row r="12" spans="1:30" x14ac:dyDescent="0.25">
      <c r="A12" s="20">
        <v>980060</v>
      </c>
      <c r="B12" s="21" t="s">
        <v>55</v>
      </c>
      <c r="C12" s="29">
        <v>167.91</v>
      </c>
      <c r="D12" s="29">
        <v>1502.59</v>
      </c>
      <c r="E12" s="29">
        <v>547.79</v>
      </c>
      <c r="F12" s="29">
        <v>424.27</v>
      </c>
      <c r="G12" s="29">
        <v>486.26</v>
      </c>
      <c r="H12" s="29">
        <v>410.12</v>
      </c>
      <c r="I12" s="29">
        <v>855.42</v>
      </c>
      <c r="J12" s="29">
        <v>831.98</v>
      </c>
      <c r="K12" s="29">
        <v>1190.17</v>
      </c>
      <c r="L12" s="29">
        <v>491.92</v>
      </c>
      <c r="M12" s="29">
        <v>339.62</v>
      </c>
      <c r="N12" s="29">
        <v>239.63</v>
      </c>
      <c r="O12" s="29">
        <v>214.87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>
        <v>7702.55</v>
      </c>
      <c r="AC12" s="105">
        <f>+AC5</f>
        <v>-4.215113668174813</v>
      </c>
      <c r="AD12" s="106">
        <v>-32467.123784799907</v>
      </c>
    </row>
    <row r="13" spans="1:30" x14ac:dyDescent="0.25">
      <c r="A13" s="20">
        <v>980090</v>
      </c>
      <c r="B13" s="21" t="s">
        <v>57</v>
      </c>
      <c r="C13" s="29"/>
      <c r="D13" s="29">
        <v>340.98</v>
      </c>
      <c r="E13" s="29">
        <v>972.04</v>
      </c>
      <c r="F13" s="29">
        <v>590.81</v>
      </c>
      <c r="G13" s="29">
        <v>505.35</v>
      </c>
      <c r="H13" s="29">
        <v>536.53</v>
      </c>
      <c r="I13" s="29">
        <v>90.45</v>
      </c>
      <c r="J13" s="29">
        <v>1015.06</v>
      </c>
      <c r="K13" s="29"/>
      <c r="L13" s="29">
        <v>987.07</v>
      </c>
      <c r="M13" s="29">
        <v>723.5</v>
      </c>
      <c r="N13" s="29">
        <v>119.92</v>
      </c>
      <c r="O13" s="29">
        <v>72.11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>
        <v>5953.82</v>
      </c>
      <c r="AC13" s="105">
        <v>-4.5</v>
      </c>
      <c r="AD13" s="106">
        <v>-26792.19</v>
      </c>
    </row>
    <row r="14" spans="1:30" x14ac:dyDescent="0.25">
      <c r="A14" s="20">
        <v>980091</v>
      </c>
      <c r="B14" s="21" t="s">
        <v>58</v>
      </c>
      <c r="C14" s="29"/>
      <c r="D14" s="29"/>
      <c r="E14" s="29"/>
      <c r="F14" s="29"/>
      <c r="G14" s="29"/>
      <c r="H14" s="29">
        <v>9.67</v>
      </c>
      <c r="I14" s="29"/>
      <c r="J14" s="29"/>
      <c r="K14" s="29"/>
      <c r="L14" s="29">
        <v>5.53</v>
      </c>
      <c r="M14" s="29"/>
      <c r="N14" s="29">
        <v>108.92</v>
      </c>
      <c r="O14" s="29">
        <v>13.13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>
        <v>137.25</v>
      </c>
      <c r="AC14" s="105">
        <v>-16.543</v>
      </c>
      <c r="AD14" s="106">
        <v>-2270.52675</v>
      </c>
    </row>
    <row r="15" spans="1:30" x14ac:dyDescent="0.25">
      <c r="A15" s="20">
        <v>441160</v>
      </c>
      <c r="B15" s="21" t="s">
        <v>295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>
        <f t="shared" si="0"/>
        <v>0</v>
      </c>
      <c r="AC15" s="108">
        <v>-20.571</v>
      </c>
      <c r="AD15" s="106">
        <f>AB15*AC15</f>
        <v>0</v>
      </c>
    </row>
    <row r="16" spans="1:30" x14ac:dyDescent="0.25">
      <c r="A16" s="20">
        <v>441860</v>
      </c>
      <c r="B16" s="21" t="s">
        <v>296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>
        <f t="shared" si="0"/>
        <v>0</v>
      </c>
      <c r="AC16" s="108">
        <v>-15.512</v>
      </c>
      <c r="AD16" s="106">
        <f>AB16*AC16</f>
        <v>0</v>
      </c>
    </row>
    <row r="17" spans="1:30" x14ac:dyDescent="0.25">
      <c r="A17" s="20">
        <v>2000008</v>
      </c>
      <c r="B17" s="21" t="s">
        <v>68</v>
      </c>
      <c r="C17" s="29"/>
      <c r="D17" s="29"/>
      <c r="E17" s="29"/>
      <c r="F17" s="29"/>
      <c r="G17" s="29"/>
      <c r="H17" s="29">
        <v>16.97</v>
      </c>
      <c r="I17" s="29"/>
      <c r="J17" s="29">
        <v>20.21</v>
      </c>
      <c r="K17" s="29"/>
      <c r="L17" s="29">
        <v>50.03</v>
      </c>
      <c r="M17" s="29"/>
      <c r="N17" s="29"/>
      <c r="O17" s="29">
        <v>68.44</v>
      </c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>
        <v>155.65</v>
      </c>
      <c r="AC17" s="105">
        <v>-4.5</v>
      </c>
      <c r="AD17" s="106">
        <v>-700.4250000000001</v>
      </c>
    </row>
    <row r="18" spans="1:30" x14ac:dyDescent="0.25">
      <c r="A18" s="20">
        <v>1987420</v>
      </c>
      <c r="B18" s="21" t="s">
        <v>65</v>
      </c>
      <c r="C18" s="29"/>
      <c r="D18" s="29">
        <v>324.5</v>
      </c>
      <c r="E18" s="29">
        <v>86.77</v>
      </c>
      <c r="F18" s="29">
        <v>195.94</v>
      </c>
      <c r="G18" s="29">
        <v>328.14</v>
      </c>
      <c r="H18" s="29">
        <v>228.13</v>
      </c>
      <c r="I18" s="29">
        <v>21.97</v>
      </c>
      <c r="J18" s="29">
        <v>88.64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>
        <f>SUM(C18:AA18)</f>
        <v>1274.0900000000001</v>
      </c>
      <c r="AC18" s="105"/>
      <c r="AD18" s="106">
        <f>-AB18*AC18</f>
        <v>0</v>
      </c>
    </row>
    <row r="19" spans="1:30" x14ac:dyDescent="0.25">
      <c r="A19" s="20">
        <v>1987434</v>
      </c>
      <c r="B19" s="21" t="s">
        <v>67</v>
      </c>
      <c r="C19" s="29"/>
      <c r="D19" s="29"/>
      <c r="E19" s="29"/>
      <c r="F19" s="29"/>
      <c r="G19" s="29"/>
      <c r="H19" s="29"/>
      <c r="I19" s="29"/>
      <c r="J19" s="29">
        <v>279.58</v>
      </c>
      <c r="K19" s="29"/>
      <c r="L19" s="29"/>
      <c r="M19" s="29">
        <v>331.98</v>
      </c>
      <c r="N19" s="29">
        <v>370.87</v>
      </c>
      <c r="O19" s="29">
        <v>195.55</v>
      </c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>
        <f>SUM(C19:AA19)</f>
        <v>1177.98</v>
      </c>
      <c r="AC19" s="105"/>
      <c r="AD19" s="106">
        <f>-AB19*AC19</f>
        <v>0</v>
      </c>
    </row>
    <row r="20" spans="1:30" x14ac:dyDescent="0.25">
      <c r="A20" s="20">
        <v>16018990</v>
      </c>
      <c r="B20" s="21" t="s">
        <v>103</v>
      </c>
      <c r="C20" s="29"/>
      <c r="D20" s="29"/>
      <c r="E20" s="29"/>
      <c r="F20" s="29"/>
      <c r="G20" s="29"/>
      <c r="H20" s="29"/>
      <c r="I20" s="29"/>
      <c r="J20" s="29"/>
      <c r="K20" s="29"/>
      <c r="L20" s="29">
        <v>2238.04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105"/>
      <c r="AD20" s="106"/>
    </row>
    <row r="21" spans="1:30" x14ac:dyDescent="0.25">
      <c r="A21" s="20">
        <v>16101790</v>
      </c>
      <c r="B21" s="21" t="s">
        <v>104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>
        <f t="shared" si="0"/>
        <v>0</v>
      </c>
      <c r="AC21" s="105">
        <f>-VNR!G18</f>
        <v>-11.770101621053124</v>
      </c>
      <c r="AD21" s="106">
        <f t="shared" si="1"/>
        <v>0</v>
      </c>
    </row>
    <row r="22" spans="1:30" x14ac:dyDescent="0.25">
      <c r="A22" s="20">
        <v>16103290</v>
      </c>
      <c r="B22" s="21" t="s">
        <v>105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>
        <f t="shared" si="0"/>
        <v>0</v>
      </c>
      <c r="AC22" s="105">
        <f>-VNR!G19</f>
        <v>-11.770101621053124</v>
      </c>
      <c r="AD22" s="106">
        <f t="shared" si="1"/>
        <v>0</v>
      </c>
    </row>
    <row r="23" spans="1:30" x14ac:dyDescent="0.25">
      <c r="A23" s="20">
        <v>16105240</v>
      </c>
      <c r="B23" s="21" t="s">
        <v>106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>
        <f t="shared" si="0"/>
        <v>0</v>
      </c>
      <c r="AC23" s="105">
        <f>-VNR!G20</f>
        <v>-11.960101621053125</v>
      </c>
      <c r="AD23" s="106">
        <f t="shared" si="1"/>
        <v>0</v>
      </c>
    </row>
    <row r="24" spans="1:30" x14ac:dyDescent="0.25">
      <c r="A24" s="20">
        <v>16601910</v>
      </c>
      <c r="B24" s="21" t="s">
        <v>107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>
        <f t="shared" si="0"/>
        <v>0</v>
      </c>
      <c r="AC24" s="105">
        <f>-VNR!G21</f>
        <v>-3.6301016210531243</v>
      </c>
      <c r="AD24" s="106">
        <f t="shared" si="1"/>
        <v>0</v>
      </c>
    </row>
    <row r="25" spans="1:30" x14ac:dyDescent="0.25">
      <c r="A25" s="20">
        <v>17001910</v>
      </c>
      <c r="B25" s="21" t="s">
        <v>108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>
        <f t="shared" si="0"/>
        <v>0</v>
      </c>
      <c r="AC25" s="105">
        <f>-VNR!G22</f>
        <v>-3.1101016210531247</v>
      </c>
      <c r="AD25" s="106">
        <f t="shared" si="1"/>
        <v>0</v>
      </c>
    </row>
    <row r="26" spans="1:30" x14ac:dyDescent="0.25">
      <c r="A26" s="20">
        <v>17071910</v>
      </c>
      <c r="B26" s="21" t="s">
        <v>109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>
        <f t="shared" si="0"/>
        <v>0</v>
      </c>
      <c r="AC26" s="105">
        <f>-VNR!G23</f>
        <v>-3.6601016210531245</v>
      </c>
      <c r="AD26" s="106">
        <f t="shared" si="1"/>
        <v>0</v>
      </c>
    </row>
    <row r="27" spans="1:30" x14ac:dyDescent="0.25">
      <c r="A27" s="20">
        <v>18001510</v>
      </c>
      <c r="B27" s="21" t="s">
        <v>110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>
        <f t="shared" si="0"/>
        <v>0</v>
      </c>
      <c r="AC27" s="105">
        <f>-VNR!G10</f>
        <v>-3.1540168302301494</v>
      </c>
      <c r="AD27" s="106">
        <f t="shared" si="1"/>
        <v>0</v>
      </c>
    </row>
    <row r="28" spans="1:30" x14ac:dyDescent="0.25">
      <c r="A28" s="20">
        <v>18001511</v>
      </c>
      <c r="B28" s="21" t="s">
        <v>111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>
        <f t="shared" si="0"/>
        <v>0</v>
      </c>
      <c r="AC28" s="105">
        <f>-VNR!G11</f>
        <v>-4.345222363826988</v>
      </c>
      <c r="AD28" s="106">
        <f t="shared" si="1"/>
        <v>0</v>
      </c>
    </row>
    <row r="29" spans="1:30" x14ac:dyDescent="0.25">
      <c r="A29" s="20">
        <v>18001830</v>
      </c>
      <c r="B29" s="21" t="s">
        <v>112</v>
      </c>
      <c r="C29" s="29"/>
      <c r="D29" s="29"/>
      <c r="E29" s="29"/>
      <c r="F29" s="29"/>
      <c r="G29" s="29"/>
      <c r="H29" s="29"/>
      <c r="I29" s="29"/>
      <c r="J29" s="29"/>
      <c r="K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>
        <f t="shared" si="0"/>
        <v>0</v>
      </c>
      <c r="AC29" s="105">
        <f>-VNR!G10</f>
        <v>-3.1540168302301494</v>
      </c>
      <c r="AD29" s="106">
        <f t="shared" si="1"/>
        <v>0</v>
      </c>
    </row>
    <row r="30" spans="1:30" x14ac:dyDescent="0.25">
      <c r="A30" s="20">
        <v>25169820</v>
      </c>
      <c r="B30" s="21" t="s">
        <v>297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>
        <f t="shared" si="0"/>
        <v>0</v>
      </c>
      <c r="AC30" s="105">
        <f>-VNR!G26</f>
        <v>-13.390116704009385</v>
      </c>
      <c r="AD30" s="106">
        <f t="shared" si="1"/>
        <v>0</v>
      </c>
    </row>
    <row r="31" spans="1:30" x14ac:dyDescent="0.25">
      <c r="A31" s="20">
        <v>21765230</v>
      </c>
      <c r="B31" s="21" t="s">
        <v>119</v>
      </c>
      <c r="C31" s="29"/>
      <c r="D31" s="29"/>
      <c r="E31" s="29"/>
      <c r="F31" s="29"/>
      <c r="G31" s="29"/>
      <c r="H31" s="29"/>
      <c r="I31" s="29"/>
      <c r="J31" s="29"/>
      <c r="K31" s="29">
        <v>8703.47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>
        <v>8703.47</v>
      </c>
      <c r="AC31" s="105">
        <f>-VNR!G25</f>
        <v>-7.260101621053124</v>
      </c>
      <c r="AD31" s="106">
        <v>-63188.07665578723</v>
      </c>
    </row>
    <row r="32" spans="1:30" x14ac:dyDescent="0.25">
      <c r="A32" s="20">
        <v>21769820</v>
      </c>
      <c r="B32" s="21" t="s">
        <v>120</v>
      </c>
      <c r="C32" s="29"/>
      <c r="D32" s="29">
        <v>2089.11</v>
      </c>
      <c r="E32" s="29">
        <v>1456.51</v>
      </c>
      <c r="F32" s="29">
        <v>944.63</v>
      </c>
      <c r="G32" s="29">
        <v>2246.42</v>
      </c>
      <c r="H32" s="29">
        <v>1757.97</v>
      </c>
      <c r="I32" s="29">
        <v>6464.73</v>
      </c>
      <c r="J32" s="96">
        <v>2999.56</v>
      </c>
      <c r="K32" s="29">
        <v>2354.59</v>
      </c>
      <c r="L32" s="29">
        <v>1777.97</v>
      </c>
      <c r="M32" s="29">
        <v>17.49</v>
      </c>
      <c r="N32" s="29">
        <v>3120.18</v>
      </c>
      <c r="O32" s="29">
        <v>2081.71</v>
      </c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>
        <v>27310.870000000003</v>
      </c>
      <c r="AC32" s="105">
        <f>-VNR!G24</f>
        <v>-7.360101621053124</v>
      </c>
      <c r="AD32" s="106">
        <v>-201010.77855937116</v>
      </c>
    </row>
    <row r="33" spans="1:30" s="109" customFormat="1" x14ac:dyDescent="0.25">
      <c r="A33" s="110"/>
      <c r="B33" s="110" t="s">
        <v>5</v>
      </c>
      <c r="C33" s="99">
        <f t="shared" ref="C33:AB33" si="2">SUM(C4:C32)</f>
        <v>167.91</v>
      </c>
      <c r="D33" s="99">
        <v>24360.25</v>
      </c>
      <c r="E33" s="99">
        <v>23556.82</v>
      </c>
      <c r="F33" s="99">
        <v>21823.420000000006</v>
      </c>
      <c r="G33" s="99">
        <v>20027.21</v>
      </c>
      <c r="H33" s="99">
        <v>20606.57</v>
      </c>
      <c r="I33" s="99">
        <v>17247.79</v>
      </c>
      <c r="J33" s="99">
        <v>26274.030000000002</v>
      </c>
      <c r="K33" s="99">
        <v>12520.13</v>
      </c>
      <c r="L33" s="99">
        <v>25604.76</v>
      </c>
      <c r="M33" s="99">
        <v>12898.880000000001</v>
      </c>
      <c r="N33" s="99">
        <v>17087.06</v>
      </c>
      <c r="O33" s="99">
        <v>16454.96</v>
      </c>
      <c r="P33" s="99">
        <f t="shared" si="2"/>
        <v>0</v>
      </c>
      <c r="Q33" s="99">
        <f t="shared" si="2"/>
        <v>0</v>
      </c>
      <c r="R33" s="99">
        <f t="shared" si="2"/>
        <v>0</v>
      </c>
      <c r="S33" s="99">
        <f t="shared" si="2"/>
        <v>0</v>
      </c>
      <c r="T33" s="99">
        <f t="shared" si="2"/>
        <v>0</v>
      </c>
      <c r="U33" s="99">
        <f t="shared" si="2"/>
        <v>0</v>
      </c>
      <c r="V33" s="99">
        <f t="shared" si="2"/>
        <v>0</v>
      </c>
      <c r="W33" s="99">
        <f t="shared" si="2"/>
        <v>0</v>
      </c>
      <c r="X33" s="99">
        <f t="shared" si="2"/>
        <v>0</v>
      </c>
      <c r="Y33" s="99">
        <f t="shared" si="2"/>
        <v>0</v>
      </c>
      <c r="Z33" s="99">
        <f t="shared" si="2"/>
        <v>0</v>
      </c>
      <c r="AA33" s="99">
        <f t="shared" si="2"/>
        <v>0</v>
      </c>
      <c r="AB33" s="99">
        <v>236391.75</v>
      </c>
      <c r="AC33" s="111"/>
      <c r="AD33" s="112">
        <f>SUM(AD4:AD32)</f>
        <v>-619865.4238355523</v>
      </c>
    </row>
    <row r="35" spans="1:33" x14ac:dyDescent="0.25">
      <c r="A35" s="97"/>
      <c r="B35" s="97" t="s">
        <v>298</v>
      </c>
      <c r="C35" s="98">
        <f t="shared" ref="C35:AA35" si="3">C2</f>
        <v>46235</v>
      </c>
      <c r="D35" s="98">
        <v>46237</v>
      </c>
      <c r="E35" s="98">
        <v>46238</v>
      </c>
      <c r="F35" s="98">
        <v>46239</v>
      </c>
      <c r="G35" s="98">
        <v>46240</v>
      </c>
      <c r="H35" s="98">
        <v>46241</v>
      </c>
      <c r="I35" s="98">
        <v>46242</v>
      </c>
      <c r="J35" s="98">
        <v>46244</v>
      </c>
      <c r="K35" s="98">
        <v>46245</v>
      </c>
      <c r="L35" s="98">
        <v>46246</v>
      </c>
      <c r="M35" s="98">
        <v>46247</v>
      </c>
      <c r="N35" s="98">
        <v>46248</v>
      </c>
      <c r="O35" s="98">
        <v>46249</v>
      </c>
      <c r="P35" s="98">
        <v>46251</v>
      </c>
      <c r="Q35" s="98">
        <v>46252</v>
      </c>
      <c r="R35" s="98">
        <v>46253</v>
      </c>
      <c r="S35" s="98">
        <v>46254</v>
      </c>
      <c r="T35" s="98">
        <v>46255</v>
      </c>
      <c r="U35" s="98">
        <v>46256</v>
      </c>
      <c r="V35" s="98">
        <v>46257</v>
      </c>
      <c r="W35" s="98">
        <v>46258</v>
      </c>
      <c r="X35" s="98">
        <v>46259</v>
      </c>
      <c r="Y35" s="98">
        <v>46260</v>
      </c>
      <c r="Z35" s="98">
        <v>46261</v>
      </c>
      <c r="AA35" s="98">
        <v>46262</v>
      </c>
      <c r="AB35" s="98" t="s">
        <v>3</v>
      </c>
      <c r="AC35" s="100" t="s">
        <v>4</v>
      </c>
      <c r="AD35" s="100" t="s">
        <v>5</v>
      </c>
      <c r="AG35" s="113" t="s">
        <v>134</v>
      </c>
    </row>
    <row r="36" spans="1:33" x14ac:dyDescent="0.25">
      <c r="A36" s="101" t="s">
        <v>290</v>
      </c>
      <c r="B36" s="102" t="s">
        <v>291</v>
      </c>
      <c r="C36" s="103" t="s">
        <v>8</v>
      </c>
      <c r="D36" s="103" t="s">
        <v>8</v>
      </c>
      <c r="E36" s="103" t="s">
        <v>8</v>
      </c>
      <c r="F36" s="103" t="s">
        <v>8</v>
      </c>
      <c r="G36" s="103" t="s">
        <v>8</v>
      </c>
      <c r="H36" s="103" t="s">
        <v>8</v>
      </c>
      <c r="I36" s="103" t="s">
        <v>8</v>
      </c>
      <c r="J36" s="103" t="s">
        <v>8</v>
      </c>
      <c r="K36" s="103" t="s">
        <v>8</v>
      </c>
      <c r="L36" s="103" t="s">
        <v>8</v>
      </c>
      <c r="M36" s="103" t="s">
        <v>8</v>
      </c>
      <c r="N36" s="103" t="s">
        <v>8</v>
      </c>
      <c r="O36" s="103" t="s">
        <v>8</v>
      </c>
      <c r="P36" s="103" t="s">
        <v>8</v>
      </c>
      <c r="Q36" s="103" t="s">
        <v>8</v>
      </c>
      <c r="R36" s="103" t="s">
        <v>8</v>
      </c>
      <c r="S36" s="103" t="s">
        <v>8</v>
      </c>
      <c r="T36" s="103" t="s">
        <v>8</v>
      </c>
      <c r="U36" s="103" t="s">
        <v>8</v>
      </c>
      <c r="V36" s="103" t="s">
        <v>8</v>
      </c>
      <c r="W36" s="103" t="s">
        <v>8</v>
      </c>
      <c r="X36" s="103" t="s">
        <v>8</v>
      </c>
      <c r="Y36" s="103" t="s">
        <v>8</v>
      </c>
      <c r="Z36" s="103" t="s">
        <v>8</v>
      </c>
      <c r="AA36" s="103" t="s">
        <v>8</v>
      </c>
      <c r="AB36" s="103" t="s">
        <v>8</v>
      </c>
      <c r="AC36" s="104" t="s">
        <v>9</v>
      </c>
      <c r="AD36" s="104" t="s">
        <v>9</v>
      </c>
      <c r="AG36" s="113" t="s">
        <v>299</v>
      </c>
    </row>
    <row r="37" spans="1:33" x14ac:dyDescent="0.25">
      <c r="A37" s="54">
        <v>13390</v>
      </c>
      <c r="B37" s="55" t="s">
        <v>300</v>
      </c>
      <c r="C37" s="29"/>
      <c r="D37" s="29">
        <v>136.05</v>
      </c>
      <c r="E37" s="29">
        <v>81.63</v>
      </c>
      <c r="F37" s="29"/>
      <c r="G37" s="29">
        <v>108.84</v>
      </c>
      <c r="H37" s="29">
        <v>81.63</v>
      </c>
      <c r="I37" s="29"/>
      <c r="J37" s="29">
        <v>27.21</v>
      </c>
      <c r="K37" s="29"/>
      <c r="L37" s="29">
        <v>136.05</v>
      </c>
      <c r="M37" s="29">
        <v>217.68</v>
      </c>
      <c r="N37" s="29">
        <v>272.1</v>
      </c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>
        <f>SUM(C37:AA37)</f>
        <v>1061.19</v>
      </c>
      <c r="AC37" s="114">
        <v>5.5</v>
      </c>
      <c r="AD37" s="115">
        <f t="shared" ref="AD37:AD74" si="4">AB37*AC37</f>
        <v>5836.545</v>
      </c>
      <c r="AE37" s="115">
        <f>+AD37*0.03</f>
        <v>175.09635</v>
      </c>
      <c r="AF37" s="25">
        <f>-AD37*0.015</f>
        <v>-87.548175</v>
      </c>
      <c r="AG37" s="116">
        <f>-envases!BL19*AB37</f>
        <v>-56.251248898457845</v>
      </c>
    </row>
    <row r="38" spans="1:33" x14ac:dyDescent="0.25">
      <c r="A38" s="20">
        <v>437060</v>
      </c>
      <c r="B38" s="21" t="s">
        <v>301</v>
      </c>
      <c r="C38" s="29"/>
      <c r="D38" s="29">
        <v>270.52</v>
      </c>
      <c r="E38" s="29">
        <v>620.73</v>
      </c>
      <c r="F38" s="29">
        <v>671.33</v>
      </c>
      <c r="G38" s="29">
        <v>945.58</v>
      </c>
      <c r="H38" s="29">
        <v>145.63</v>
      </c>
      <c r="I38" s="29">
        <v>1864.76</v>
      </c>
      <c r="J38" s="29">
        <v>974.05</v>
      </c>
      <c r="K38" s="29"/>
      <c r="L38" s="29">
        <v>655.51</v>
      </c>
      <c r="M38" s="29"/>
      <c r="N38" s="29">
        <v>758.96</v>
      </c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>
        <f t="shared" ref="AB38:AB101" si="5">SUM(C38:AA38)</f>
        <v>6907.070000000001</v>
      </c>
      <c r="AC38" s="114">
        <f>envases!J106</f>
        <v>12.91604570293095</v>
      </c>
      <c r="AD38" s="115">
        <v>89212.03179334328</v>
      </c>
      <c r="AE38" s="117"/>
      <c r="AF38" s="117"/>
      <c r="AG38" s="116">
        <f>-envases!I121*AB38</f>
        <v>-2090.990829971913</v>
      </c>
    </row>
    <row r="39" spans="1:33" x14ac:dyDescent="0.25">
      <c r="A39" s="20">
        <v>437660</v>
      </c>
      <c r="B39" s="21" t="s">
        <v>149</v>
      </c>
      <c r="C39" s="29"/>
      <c r="D39" s="29">
        <v>35.99</v>
      </c>
      <c r="E39" s="29">
        <v>983.68</v>
      </c>
      <c r="F39" s="29">
        <v>656.75</v>
      </c>
      <c r="G39" s="29">
        <v>391.57</v>
      </c>
      <c r="H39" s="29"/>
      <c r="I39" s="29">
        <v>22.59</v>
      </c>
      <c r="J39" s="29">
        <v>279.76</v>
      </c>
      <c r="K39" s="29"/>
      <c r="L39" s="29">
        <v>113.85</v>
      </c>
      <c r="M39" s="29"/>
      <c r="N39" s="29">
        <v>562.88</v>
      </c>
      <c r="O39" s="29">
        <v>16.25</v>
      </c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>
        <v>3063.32</v>
      </c>
      <c r="AC39" s="114">
        <f>envases!J174</f>
        <v>12.170889220069549</v>
      </c>
      <c r="AD39" s="115">
        <v>37283.328365623456</v>
      </c>
      <c r="AE39" s="117"/>
      <c r="AF39" s="117"/>
      <c r="AG39" s="116">
        <f>-envases!I189*AB39</f>
        <v>-1027.2349259691844</v>
      </c>
    </row>
    <row r="40" hidden="1" spans="1:33" x14ac:dyDescent="0.25">
      <c r="A40" s="20">
        <v>438160</v>
      </c>
      <c r="B40" s="21" t="s">
        <v>152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>
        <f t="shared" si="5"/>
        <v>0</v>
      </c>
      <c r="AC40" s="114">
        <f>envases!E399</f>
        <v>15.772478887232987</v>
      </c>
      <c r="AD40" s="115">
        <f t="shared" si="4"/>
        <v>0</v>
      </c>
      <c r="AE40" s="117"/>
      <c r="AF40" s="117"/>
      <c r="AG40" s="116">
        <f>-envases!D416*AB40</f>
        <v>0</v>
      </c>
    </row>
    <row r="41" hidden="1" spans="1:33" x14ac:dyDescent="0.25">
      <c r="A41" s="20">
        <v>438260</v>
      </c>
      <c r="B41" s="21" t="s">
        <v>154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>
        <f t="shared" si="5"/>
        <v>0</v>
      </c>
      <c r="AC41" s="114">
        <f>690/40.18</f>
        <v>17.17272274763564</v>
      </c>
      <c r="AD41" s="115">
        <f t="shared" si="4"/>
        <v>0</v>
      </c>
      <c r="AE41" s="117"/>
      <c r="AF41" s="117"/>
      <c r="AG41" s="116">
        <f>-envases!D552*AB41</f>
        <v>0</v>
      </c>
    </row>
    <row r="42" spans="1:33" x14ac:dyDescent="0.25">
      <c r="A42" s="20">
        <v>438360</v>
      </c>
      <c r="B42" s="21" t="s">
        <v>156</v>
      </c>
      <c r="C42" s="29"/>
      <c r="D42" s="29">
        <v>136.14</v>
      </c>
      <c r="E42" s="29">
        <v>243.73</v>
      </c>
      <c r="F42" s="29">
        <v>59.66</v>
      </c>
      <c r="G42" s="29">
        <v>230.86</v>
      </c>
      <c r="H42" s="29">
        <v>95.93</v>
      </c>
      <c r="I42" s="29">
        <v>144.29</v>
      </c>
      <c r="J42" s="29">
        <v>243.78</v>
      </c>
      <c r="K42" s="29"/>
      <c r="L42" s="29">
        <v>59.9</v>
      </c>
      <c r="M42" s="29">
        <v>145.03</v>
      </c>
      <c r="N42" s="29">
        <v>103.66</v>
      </c>
      <c r="O42" s="29">
        <v>49.69</v>
      </c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>
        <v>1512.67</v>
      </c>
      <c r="AC42" s="114">
        <f>envases!E418</f>
        <v>14.778936910084452</v>
      </c>
      <c r="AD42" s="115">
        <v>22355.65449577745</v>
      </c>
      <c r="AE42" s="117"/>
      <c r="AF42" s="117"/>
      <c r="AG42" s="116">
        <f>-envases!D435*AB42</f>
        <v>-1134.0942097299228</v>
      </c>
    </row>
    <row r="43" spans="1:33" x14ac:dyDescent="0.25">
      <c r="A43" s="20">
        <v>438460</v>
      </c>
      <c r="B43" s="21" t="s">
        <v>158</v>
      </c>
      <c r="C43" s="29">
        <v>46.4</v>
      </c>
      <c r="D43" s="29">
        <v>691.62</v>
      </c>
      <c r="E43" s="29"/>
      <c r="F43" s="29">
        <v>44.03</v>
      </c>
      <c r="G43" s="29">
        <v>110.97</v>
      </c>
      <c r="H43" s="29">
        <v>584.41</v>
      </c>
      <c r="I43" s="29"/>
      <c r="J43" s="29">
        <v>107.49</v>
      </c>
      <c r="K43" s="29"/>
      <c r="L43" s="29">
        <v>51.82</v>
      </c>
      <c r="M43" s="29">
        <v>50.67</v>
      </c>
      <c r="N43" s="29">
        <v>75.47</v>
      </c>
      <c r="O43" s="29">
        <v>91.43</v>
      </c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>
        <v>1854.31</v>
      </c>
      <c r="AC43" s="114">
        <f>envases!E456</f>
        <v>16.76602086438152</v>
      </c>
      <c r="AD43" s="115">
        <v>31089.400149031295</v>
      </c>
      <c r="AE43" s="117"/>
      <c r="AF43" s="117"/>
      <c r="AG43" s="116">
        <f>-envases!D474*AB43</f>
        <v>-1122.8504215936757</v>
      </c>
    </row>
    <row r="44" spans="1:33" x14ac:dyDescent="0.25">
      <c r="A44" s="20">
        <v>438560</v>
      </c>
      <c r="B44" s="21" t="s">
        <v>159</v>
      </c>
      <c r="C44" s="29"/>
      <c r="D44" s="29">
        <v>278.47</v>
      </c>
      <c r="E44" s="29">
        <v>561.61</v>
      </c>
      <c r="F44" s="29">
        <v>117.75</v>
      </c>
      <c r="G44" s="29">
        <v>554.45</v>
      </c>
      <c r="H44" s="29">
        <v>144.26</v>
      </c>
      <c r="I44" s="29">
        <v>260.76</v>
      </c>
      <c r="J44" s="29">
        <v>554.39</v>
      </c>
      <c r="K44" s="29"/>
      <c r="L44" s="29">
        <v>183.7</v>
      </c>
      <c r="M44" s="29">
        <v>305.65</v>
      </c>
      <c r="N44" s="29">
        <v>239.75</v>
      </c>
      <c r="O44" s="29">
        <v>86.03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>
        <v>3286.82</v>
      </c>
      <c r="AC44" s="114">
        <f>envases!E437</f>
        <v>15.772478887232987</v>
      </c>
      <c r="AD44" s="115">
        <v>51841.29905613513</v>
      </c>
      <c r="AE44" s="117"/>
      <c r="AF44" s="117"/>
      <c r="AG44" s="118">
        <f>-envases!D454*AB44</f>
        <v>-2059.063669455716</v>
      </c>
    </row>
    <row r="45" spans="1:33" x14ac:dyDescent="0.25">
      <c r="A45" s="20">
        <v>441160</v>
      </c>
      <c r="B45" s="21" t="s">
        <v>302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>
        <f t="shared" si="5"/>
        <v>0</v>
      </c>
      <c r="AC45" s="119">
        <v>20.571</v>
      </c>
      <c r="AD45" s="115">
        <f t="shared" si="4"/>
        <v>0</v>
      </c>
      <c r="AE45" s="117"/>
      <c r="AF45" s="117"/>
      <c r="AG45" s="120"/>
    </row>
    <row r="46" spans="1:33" x14ac:dyDescent="0.25">
      <c r="A46" s="20">
        <v>443060</v>
      </c>
      <c r="B46" s="21" t="s">
        <v>179</v>
      </c>
      <c r="C46" s="29"/>
      <c r="D46" s="29"/>
      <c r="E46" s="29"/>
      <c r="F46" s="29"/>
      <c r="G46" s="29"/>
      <c r="H46" s="29"/>
      <c r="I46" s="29">
        <v>202.15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>
        <v>202.15</v>
      </c>
      <c r="AC46" s="119">
        <f>630/40.18</f>
        <v>15.679442508710801</v>
      </c>
      <c r="AD46" s="115">
        <v>3169.5993031358885</v>
      </c>
      <c r="AE46" s="117"/>
      <c r="AF46" s="117"/>
      <c r="AG46" s="116">
        <f>-envases!BG122*AB46</f>
        <v>-67.83186480732518</v>
      </c>
    </row>
    <row r="47" spans="1:33" x14ac:dyDescent="0.25">
      <c r="A47" s="20">
        <v>443160</v>
      </c>
      <c r="B47" s="21" t="s">
        <v>303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>
        <f t="shared" si="5"/>
        <v>0</v>
      </c>
      <c r="AC47" s="119">
        <v>11.16</v>
      </c>
      <c r="AD47" s="115">
        <f t="shared" si="4"/>
        <v>0</v>
      </c>
      <c r="AE47" s="117"/>
      <c r="AF47" s="117"/>
      <c r="AG47" s="121"/>
    </row>
    <row r="48" spans="1:33" x14ac:dyDescent="0.25">
      <c r="A48" s="20">
        <v>443360</v>
      </c>
      <c r="B48" s="21" t="s">
        <v>304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>
        <f t="shared" si="5"/>
        <v>0</v>
      </c>
      <c r="AC48" s="122"/>
      <c r="AD48" s="115">
        <f t="shared" si="4"/>
        <v>0</v>
      </c>
      <c r="AE48" s="117"/>
      <c r="AF48" s="117"/>
      <c r="AG48" s="121"/>
    </row>
    <row r="49" spans="1:33" x14ac:dyDescent="0.25">
      <c r="A49" s="20">
        <v>443560</v>
      </c>
      <c r="B49" s="21" t="s">
        <v>305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>
        <f t="shared" si="5"/>
        <v>0</v>
      </c>
      <c r="AC49" s="119">
        <f>660/40.18</f>
        <v>16.42608262817322</v>
      </c>
      <c r="AD49" s="115">
        <f t="shared" si="4"/>
        <v>0</v>
      </c>
      <c r="AE49" s="117"/>
      <c r="AF49" s="117"/>
      <c r="AG49" s="116">
        <f>-envases!BG142*AB49</f>
        <v>0</v>
      </c>
    </row>
    <row r="50" spans="1:33" x14ac:dyDescent="0.25">
      <c r="A50" s="20">
        <v>443760</v>
      </c>
      <c r="B50" s="21" t="s">
        <v>306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123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>
        <f t="shared" si="5"/>
        <v>0</v>
      </c>
      <c r="AC50" s="119">
        <f>616/40.18</f>
        <v>15.331010452961673</v>
      </c>
      <c r="AD50" s="115">
        <f t="shared" si="4"/>
        <v>0</v>
      </c>
      <c r="AE50" s="117"/>
      <c r="AF50" s="117"/>
      <c r="AG50" s="116">
        <f>-envases!BG162*AB50</f>
        <v>0</v>
      </c>
    </row>
    <row r="51" spans="1:33" x14ac:dyDescent="0.25">
      <c r="A51" s="20">
        <v>980039</v>
      </c>
      <c r="B51" s="21" t="s">
        <v>53</v>
      </c>
      <c r="C51" s="29"/>
      <c r="D51" s="29">
        <v>48.12</v>
      </c>
      <c r="E51" s="29">
        <v>41.25</v>
      </c>
      <c r="F51" s="29">
        <v>35.64</v>
      </c>
      <c r="G51" s="29">
        <v>23.94</v>
      </c>
      <c r="H51" s="29">
        <v>3.82</v>
      </c>
      <c r="I51" s="29"/>
      <c r="J51" s="29">
        <v>293.9</v>
      </c>
      <c r="K51" s="29">
        <v>1174.7</v>
      </c>
      <c r="L51" s="29">
        <v>281.7</v>
      </c>
      <c r="M51" s="29"/>
      <c r="N51" s="29">
        <v>99.27</v>
      </c>
      <c r="O51" s="29">
        <v>17.78</v>
      </c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>
        <v>2020.12</v>
      </c>
      <c r="AC51" s="114">
        <v>4.155</v>
      </c>
      <c r="AD51" s="115">
        <v>8393.5986</v>
      </c>
      <c r="AE51" s="117"/>
      <c r="AF51" s="117"/>
      <c r="AG51" s="124"/>
    </row>
    <row r="52" spans="1:33" x14ac:dyDescent="0.25">
      <c r="A52" s="20">
        <v>980060</v>
      </c>
      <c r="B52" s="21" t="s">
        <v>307</v>
      </c>
      <c r="C52" s="29">
        <v>117</v>
      </c>
      <c r="D52" s="29">
        <v>336.54</v>
      </c>
      <c r="E52" s="29">
        <v>364.31</v>
      </c>
      <c r="F52" s="29">
        <v>687.02</v>
      </c>
      <c r="G52" s="29">
        <v>447.88</v>
      </c>
      <c r="H52" s="29">
        <v>581.75</v>
      </c>
      <c r="I52" s="29">
        <v>1044.33</v>
      </c>
      <c r="J52" s="29">
        <v>1128.63</v>
      </c>
      <c r="K52" s="29">
        <v>355.63</v>
      </c>
      <c r="L52" s="29">
        <v>749.1</v>
      </c>
      <c r="M52" s="29">
        <f>424.59-349.1</f>
        <v>75.48999999999995</v>
      </c>
      <c r="N52" s="29">
        <v>66.72</v>
      </c>
      <c r="O52" s="29">
        <v>354.05</v>
      </c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>
        <v>6308.450000000001</v>
      </c>
      <c r="AC52" s="114">
        <v>4.8</v>
      </c>
      <c r="AD52" s="115">
        <v>30280.56</v>
      </c>
      <c r="AE52" s="117"/>
      <c r="AF52" s="117"/>
      <c r="AG52" s="125"/>
    </row>
    <row r="53" spans="1:33" x14ac:dyDescent="0.25">
      <c r="A53" s="20">
        <v>980090</v>
      </c>
      <c r="B53" s="21" t="s">
        <v>194</v>
      </c>
      <c r="C53" s="29"/>
      <c r="D53" s="29">
        <v>999</v>
      </c>
      <c r="E53" s="29">
        <v>590.81</v>
      </c>
      <c r="F53" s="29">
        <v>505.35</v>
      </c>
      <c r="G53" s="29">
        <v>539.53</v>
      </c>
      <c r="H53" s="29">
        <v>63.59</v>
      </c>
      <c r="I53" s="29">
        <v>1041.92</v>
      </c>
      <c r="J53" s="29">
        <v>669.99</v>
      </c>
      <c r="K53" s="29">
        <v>356.03</v>
      </c>
      <c r="L53" s="29">
        <v>695.72</v>
      </c>
      <c r="M53" s="29">
        <v>133.82</v>
      </c>
      <c r="N53" s="29">
        <v>72.11</v>
      </c>
      <c r="O53" s="29">
        <v>410.12</v>
      </c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>
        <v>6077.989999999999</v>
      </c>
      <c r="AC53" s="114">
        <v>4.5</v>
      </c>
      <c r="AD53" s="115">
        <v>27350.954999999994</v>
      </c>
      <c r="AE53" s="117"/>
      <c r="AF53" s="117"/>
      <c r="AG53" s="125"/>
    </row>
    <row r="54" hidden="1" spans="1:33" x14ac:dyDescent="0.25">
      <c r="A54" s="20">
        <v>980035</v>
      </c>
      <c r="B54" s="21" t="s">
        <v>308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>
        <f t="shared" si="5"/>
        <v>0</v>
      </c>
      <c r="AC54" s="114">
        <v>4.5</v>
      </c>
      <c r="AD54" s="115">
        <f t="shared" si="4"/>
        <v>0</v>
      </c>
      <c r="AE54" s="117"/>
      <c r="AF54" s="117"/>
      <c r="AG54" s="125"/>
    </row>
    <row r="55" hidden="1" spans="1:33" x14ac:dyDescent="0.25">
      <c r="A55" s="20">
        <v>981035</v>
      </c>
      <c r="B55" s="21" t="s">
        <v>309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>
        <f t="shared" si="5"/>
        <v>0</v>
      </c>
      <c r="AC55" s="114">
        <v>4.5</v>
      </c>
      <c r="AD55" s="115">
        <f t="shared" si="4"/>
        <v>0</v>
      </c>
      <c r="AE55" s="126"/>
      <c r="AF55" s="127"/>
      <c r="AG55" s="128"/>
    </row>
    <row r="56" spans="1:33" x14ac:dyDescent="0.25">
      <c r="A56" s="20">
        <v>991039</v>
      </c>
      <c r="B56" s="21" t="s">
        <v>310</v>
      </c>
      <c r="C56" s="29"/>
      <c r="D56" s="29">
        <v>1725.08</v>
      </c>
      <c r="E56" s="29"/>
      <c r="F56" s="29">
        <v>1960.63</v>
      </c>
      <c r="G56" s="29">
        <v>811.97</v>
      </c>
      <c r="H56" s="29">
        <v>1638.94</v>
      </c>
      <c r="I56" s="29">
        <v>1367.98</v>
      </c>
      <c r="J56" s="29">
        <v>294.02</v>
      </c>
      <c r="K56" s="29"/>
      <c r="L56" s="29">
        <v>757.93</v>
      </c>
      <c r="M56" s="29"/>
      <c r="N56" s="29">
        <v>2100.32</v>
      </c>
      <c r="O56" s="29">
        <v>456.65</v>
      </c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>
        <v>11113.52</v>
      </c>
      <c r="AC56" s="114">
        <v>4.6</v>
      </c>
      <c r="AD56" s="115">
        <v>51122.191999999995</v>
      </c>
      <c r="AE56" s="129">
        <f t="shared" ref="AE56:AE70" si="6">+AD56*0.03</f>
        <v>1533.6657599999999</v>
      </c>
      <c r="AF56" s="130">
        <f t="shared" ref="AF56:AF70" si="7">-AD56*0.015</f>
        <v>-766.8328799999999</v>
      </c>
      <c r="AG56" s="131">
        <f>-envases!AC121*AB56</f>
        <v>-758.5437786942838</v>
      </c>
    </row>
    <row r="57" spans="1:33" x14ac:dyDescent="0.25">
      <c r="A57" s="20">
        <v>991090</v>
      </c>
      <c r="B57" s="21" t="s">
        <v>311</v>
      </c>
      <c r="C57" s="29"/>
      <c r="D57" s="29">
        <v>516.99</v>
      </c>
      <c r="E57" s="29">
        <v>380.94</v>
      </c>
      <c r="F57" s="29">
        <v>299.31</v>
      </c>
      <c r="G57" s="29">
        <v>326.52</v>
      </c>
      <c r="H57" s="29">
        <v>734.67</v>
      </c>
      <c r="I57" s="29">
        <v>81.63</v>
      </c>
      <c r="J57" s="29">
        <v>435.36</v>
      </c>
      <c r="K57" s="29"/>
      <c r="L57" s="29">
        <f>816.3-663.66</f>
        <v>152.64</v>
      </c>
      <c r="M57" s="96">
        <v>380.94</v>
      </c>
      <c r="N57" s="29">
        <v>489.78</v>
      </c>
      <c r="O57" s="29">
        <v>435.36</v>
      </c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>
        <v>4234.139999999999</v>
      </c>
      <c r="AC57" s="114">
        <v>4.6</v>
      </c>
      <c r="AD57" s="115">
        <v>19477.043999999994</v>
      </c>
      <c r="AE57" s="115">
        <v>584.3113199999998</v>
      </c>
      <c r="AF57" s="25">
        <v>-292.1556599999999</v>
      </c>
      <c r="AG57" s="116">
        <f>-envases!AC155*AB57</f>
        <v>-224.44205374241773</v>
      </c>
    </row>
    <row r="58" spans="1:33" x14ac:dyDescent="0.25">
      <c r="A58" s="20">
        <v>991260</v>
      </c>
      <c r="B58" s="21" t="s">
        <v>312</v>
      </c>
      <c r="C58" s="29"/>
      <c r="D58" s="29">
        <v>4974.27</v>
      </c>
      <c r="E58" s="29">
        <v>4572.39</v>
      </c>
      <c r="F58" s="29">
        <v>4905.57</v>
      </c>
      <c r="G58" s="29">
        <v>5536.57</v>
      </c>
      <c r="H58" s="29">
        <v>4123.2</v>
      </c>
      <c r="I58" s="29">
        <v>1484.68</v>
      </c>
      <c r="J58" s="29">
        <v>5708.98</v>
      </c>
      <c r="K58" s="29"/>
      <c r="L58" s="29">
        <v>6042.02</v>
      </c>
      <c r="M58" s="29">
        <v>1436.62</v>
      </c>
      <c r="N58" s="29">
        <v>2350.19</v>
      </c>
      <c r="O58" s="29">
        <v>3537.79</v>
      </c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>
        <v>44672.280000000006</v>
      </c>
      <c r="AC58" s="114">
        <v>4.7</v>
      </c>
      <c r="AD58" s="115">
        <v>209959.71600000004</v>
      </c>
      <c r="AE58" s="115">
        <v>6298.791480000001</v>
      </c>
      <c r="AF58" s="25">
        <v>-3149.3957400000004</v>
      </c>
      <c r="AG58" s="116">
        <f>-envases!AC359*AB58</f>
        <v>-3896.822028652369</v>
      </c>
    </row>
    <row r="59" spans="1:33" x14ac:dyDescent="0.25">
      <c r="A59" s="20">
        <v>991190</v>
      </c>
      <c r="B59" s="21" t="s">
        <v>313</v>
      </c>
      <c r="C59" s="29"/>
      <c r="D59" s="29">
        <v>1040</v>
      </c>
      <c r="E59" s="29">
        <v>920</v>
      </c>
      <c r="F59" s="29">
        <v>1220</v>
      </c>
      <c r="G59" s="29">
        <v>900</v>
      </c>
      <c r="H59" s="29">
        <v>1020</v>
      </c>
      <c r="I59" s="29">
        <v>40</v>
      </c>
      <c r="J59" s="29">
        <v>800</v>
      </c>
      <c r="K59" s="29"/>
      <c r="L59" s="29">
        <v>1220</v>
      </c>
      <c r="M59" s="29">
        <v>420</v>
      </c>
      <c r="N59" s="29">
        <v>200</v>
      </c>
      <c r="O59" s="29">
        <v>560</v>
      </c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>
        <v>8340</v>
      </c>
      <c r="AC59" s="114">
        <v>4.6</v>
      </c>
      <c r="AD59" s="115">
        <v>38364</v>
      </c>
      <c r="AE59" s="115">
        <v>1150.9199999999998</v>
      </c>
      <c r="AF59" s="25">
        <v>-575.4599999999999</v>
      </c>
      <c r="AG59" s="116">
        <f>-envases!AC274*AB59</f>
        <v>-601.4556612988955</v>
      </c>
    </row>
    <row r="60" spans="1:33" x14ac:dyDescent="0.25">
      <c r="A60" s="20">
        <v>991290</v>
      </c>
      <c r="B60" s="21" t="s">
        <v>314</v>
      </c>
      <c r="C60" s="29"/>
      <c r="D60" s="29">
        <v>571.41</v>
      </c>
      <c r="E60" s="29">
        <v>816.3</v>
      </c>
      <c r="F60" s="29">
        <v>1224.45</v>
      </c>
      <c r="G60" s="29">
        <v>81.63</v>
      </c>
      <c r="H60" s="29">
        <v>299.31</v>
      </c>
      <c r="I60" s="29">
        <v>81.63</v>
      </c>
      <c r="J60" s="29">
        <v>625.83</v>
      </c>
      <c r="K60" s="29"/>
      <c r="L60" s="29">
        <v>1278.87</v>
      </c>
      <c r="M60" s="29">
        <v>489.78</v>
      </c>
      <c r="N60" s="29">
        <v>217.68</v>
      </c>
      <c r="O60" s="29">
        <v>571.41</v>
      </c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>
        <v>6258.3</v>
      </c>
      <c r="AC60" s="114">
        <v>3.5</v>
      </c>
      <c r="AD60" s="115">
        <v>21904.05</v>
      </c>
      <c r="AE60" s="115">
        <v>657.1215</v>
      </c>
      <c r="AF60" s="25">
        <v>-328.56075</v>
      </c>
      <c r="AG60" s="116">
        <f>-envases!AC376*AB60</f>
        <v>-331.73813452936685</v>
      </c>
    </row>
    <row r="61" spans="1:33" x14ac:dyDescent="0.25">
      <c r="A61" s="20">
        <v>991360</v>
      </c>
      <c r="B61" s="21" t="s">
        <v>315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>
        <f t="shared" si="5"/>
        <v>0</v>
      </c>
      <c r="AC61" s="114">
        <v>3.4</v>
      </c>
      <c r="AD61" s="115">
        <f t="shared" si="4"/>
        <v>0</v>
      </c>
      <c r="AE61" s="115">
        <f t="shared" si="6"/>
        <v>0</v>
      </c>
      <c r="AF61" s="25">
        <f t="shared" si="7"/>
        <v>0</v>
      </c>
      <c r="AG61" s="116">
        <f>-envases!AC444*AB61</f>
        <v>0</v>
      </c>
    </row>
    <row r="62" spans="1:33" x14ac:dyDescent="0.25">
      <c r="A62" s="20">
        <v>991390</v>
      </c>
      <c r="B62" s="21" t="s">
        <v>201</v>
      </c>
      <c r="C62" s="29"/>
      <c r="D62" s="29">
        <v>408.15</v>
      </c>
      <c r="E62" s="29">
        <v>653.04</v>
      </c>
      <c r="F62" s="29">
        <v>625.83</v>
      </c>
      <c r="G62" s="29">
        <v>244.89</v>
      </c>
      <c r="H62" s="29">
        <v>435.36</v>
      </c>
      <c r="I62" s="29">
        <v>27.21</v>
      </c>
      <c r="J62" s="29">
        <v>625.83</v>
      </c>
      <c r="K62" s="29"/>
      <c r="L62" s="29">
        <v>516.99</v>
      </c>
      <c r="M62" s="29">
        <v>353.73</v>
      </c>
      <c r="N62" s="29">
        <v>217.68</v>
      </c>
      <c r="O62" s="29">
        <v>272.1</v>
      </c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>
        <v>4380.81</v>
      </c>
      <c r="AC62" s="114">
        <v>4.625</v>
      </c>
      <c r="AD62" s="115">
        <v>20261.24625</v>
      </c>
      <c r="AE62" s="115">
        <v>607.8373875</v>
      </c>
      <c r="AF62" s="25">
        <v>-303.91869375</v>
      </c>
      <c r="AG62" s="116">
        <f>-envases!AC461*AB62</f>
        <v>-232.2166941705568</v>
      </c>
    </row>
    <row r="63" spans="1:33" x14ac:dyDescent="0.25">
      <c r="A63" s="20">
        <v>991560</v>
      </c>
      <c r="B63" s="21" t="s">
        <v>316</v>
      </c>
      <c r="C63" s="29"/>
      <c r="D63" s="29"/>
      <c r="E63" s="29">
        <v>506.61</v>
      </c>
      <c r="F63" s="29">
        <v>113.56</v>
      </c>
      <c r="G63" s="29">
        <v>308.42</v>
      </c>
      <c r="H63" s="29">
        <v>101.62</v>
      </c>
      <c r="I63" s="29">
        <v>500.34</v>
      </c>
      <c r="J63" s="29">
        <v>1034.97</v>
      </c>
      <c r="K63" s="29"/>
      <c r="L63" s="29">
        <v>19.62</v>
      </c>
      <c r="M63" s="29">
        <v>774.15</v>
      </c>
      <c r="N63" s="29">
        <v>300.62</v>
      </c>
      <c r="O63" s="29">
        <v>429.95</v>
      </c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>
        <v>4089.8599999999997</v>
      </c>
      <c r="AC63" s="114">
        <v>4.925</v>
      </c>
      <c r="AD63" s="115">
        <v>20142.560499999996</v>
      </c>
      <c r="AE63" s="115">
        <v>604.2768149999998</v>
      </c>
      <c r="AF63" s="25">
        <v>-302.1384074999999</v>
      </c>
      <c r="AG63" s="116">
        <f>-envases!AC546*AB63</f>
        <v>-324.2236864937151</v>
      </c>
    </row>
    <row r="64" spans="1:33" x14ac:dyDescent="0.25">
      <c r="A64" s="20">
        <v>991590</v>
      </c>
      <c r="B64" s="21" t="s">
        <v>317</v>
      </c>
      <c r="C64" s="29"/>
      <c r="D64" s="29">
        <v>408.15</v>
      </c>
      <c r="E64" s="29">
        <v>462.57</v>
      </c>
      <c r="F64" s="29">
        <v>408.15</v>
      </c>
      <c r="G64" s="29">
        <v>843.51</v>
      </c>
      <c r="H64" s="29">
        <v>843.51</v>
      </c>
      <c r="I64" s="29">
        <v>54.42</v>
      </c>
      <c r="J64" s="29">
        <v>897.93</v>
      </c>
      <c r="K64" s="29"/>
      <c r="L64" s="29">
        <v>163.26</v>
      </c>
      <c r="M64" s="29">
        <v>680.25</v>
      </c>
      <c r="N64" s="29">
        <v>435.36</v>
      </c>
      <c r="O64" s="29">
        <v>516.99</v>
      </c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>
        <v>5714.099999999999</v>
      </c>
      <c r="AC64" s="114">
        <v>4.625</v>
      </c>
      <c r="AD64" s="115">
        <v>26427.712499999998</v>
      </c>
      <c r="AE64" s="115">
        <v>792.8313749999999</v>
      </c>
      <c r="AF64" s="25">
        <v>-396.41568749999993</v>
      </c>
      <c r="AG64" s="116">
        <f>-envases!AC563*AB64</f>
        <v>-302.8913402224653</v>
      </c>
    </row>
    <row r="65" spans="1:33" x14ac:dyDescent="0.25">
      <c r="A65" s="20">
        <v>991790</v>
      </c>
      <c r="B65" s="21" t="s">
        <v>318</v>
      </c>
      <c r="C65" s="29"/>
      <c r="D65" s="29">
        <v>435.36</v>
      </c>
      <c r="E65" s="29">
        <v>190.47</v>
      </c>
      <c r="F65" s="29">
        <v>108.84</v>
      </c>
      <c r="G65" s="29">
        <v>380.94</v>
      </c>
      <c r="H65" s="29">
        <v>244.89</v>
      </c>
      <c r="I65" s="29"/>
      <c r="J65" s="29">
        <v>408.15</v>
      </c>
      <c r="K65" s="29"/>
      <c r="L65" s="29">
        <v>163.26</v>
      </c>
      <c r="M65" s="29">
        <v>571.41</v>
      </c>
      <c r="N65" s="29">
        <v>571.41</v>
      </c>
      <c r="O65" s="29">
        <v>108.84</v>
      </c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>
        <v>3183.57</v>
      </c>
      <c r="AC65" s="114">
        <v>4.625</v>
      </c>
      <c r="AD65" s="115">
        <v>14724.011250000001</v>
      </c>
      <c r="AE65" s="115">
        <v>441.7203375</v>
      </c>
      <c r="AF65" s="25">
        <v>-220.86016875</v>
      </c>
      <c r="AG65" s="116">
        <f>-envases!AC648*AB65</f>
        <v>-168.75374669537356</v>
      </c>
    </row>
    <row r="66" spans="1:33" x14ac:dyDescent="0.25">
      <c r="A66" s="20">
        <v>991860</v>
      </c>
      <c r="B66" s="21" t="s">
        <v>319</v>
      </c>
      <c r="C66" s="29"/>
      <c r="D66" s="29"/>
      <c r="E66" s="29">
        <v>1252.89</v>
      </c>
      <c r="F66" s="29">
        <v>286.4</v>
      </c>
      <c r="G66" s="29">
        <v>808.56</v>
      </c>
      <c r="H66" s="29">
        <v>358.41</v>
      </c>
      <c r="I66" s="29">
        <v>1241.74</v>
      </c>
      <c r="J66" s="29">
        <v>2686.08</v>
      </c>
      <c r="K66" s="29"/>
      <c r="L66" s="29">
        <v>22.41</v>
      </c>
      <c r="M66" s="29">
        <v>2082.68</v>
      </c>
      <c r="N66" s="29">
        <v>864.11</v>
      </c>
      <c r="O66" s="29">
        <v>1264.48</v>
      </c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>
        <v>10867.76</v>
      </c>
      <c r="AC66" s="114">
        <v>4.925</v>
      </c>
      <c r="AD66" s="115">
        <v>53523.718</v>
      </c>
      <c r="AE66" s="115">
        <v>1605.71154</v>
      </c>
      <c r="AF66" s="25">
        <v>-802.85577</v>
      </c>
      <c r="AG66" s="116">
        <f>-envases!AC682*AB66</f>
        <v>-839.6066799738803</v>
      </c>
    </row>
    <row r="67" spans="1:33" x14ac:dyDescent="0.25">
      <c r="A67" s="20">
        <v>993032</v>
      </c>
      <c r="B67" s="21" t="s">
        <v>320</v>
      </c>
      <c r="C67" s="29"/>
      <c r="D67" s="29"/>
      <c r="E67" s="29"/>
      <c r="F67" s="29">
        <v>24.99</v>
      </c>
      <c r="G67" s="29"/>
      <c r="H67" s="29">
        <v>24.96</v>
      </c>
      <c r="I67" s="29"/>
      <c r="J67" s="29"/>
      <c r="K67" s="29"/>
      <c r="L67" s="29">
        <v>20.82</v>
      </c>
      <c r="M67" s="29">
        <v>40.75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>
        <v>111.52000000000001</v>
      </c>
      <c r="AC67" s="114">
        <v>11.1</v>
      </c>
      <c r="AD67" s="115">
        <v>1237.872</v>
      </c>
      <c r="AE67" s="115">
        <v>37.136160000000004</v>
      </c>
      <c r="AF67" s="25">
        <v>-18.568080000000002</v>
      </c>
      <c r="AG67" s="116">
        <f>-envases!X34*AB67</f>
        <v>-11.331956592559953</v>
      </c>
    </row>
    <row r="68" hidden="1" spans="1:33" x14ac:dyDescent="0.25">
      <c r="A68" s="20">
        <v>993133</v>
      </c>
      <c r="B68" s="21" t="s">
        <v>321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>
        <f t="shared" si="5"/>
        <v>0</v>
      </c>
      <c r="AC68" s="114">
        <v>9.7</v>
      </c>
      <c r="AD68" s="115">
        <f t="shared" si="4"/>
        <v>0</v>
      </c>
      <c r="AE68" s="115">
        <f t="shared" si="6"/>
        <v>0</v>
      </c>
      <c r="AF68" s="25">
        <f t="shared" si="7"/>
        <v>0</v>
      </c>
      <c r="AG68" s="116">
        <f>-envases!X82*AB68</f>
        <v>0</v>
      </c>
    </row>
    <row r="69" spans="1:33" x14ac:dyDescent="0.25">
      <c r="A69" s="20">
        <v>993290</v>
      </c>
      <c r="B69" s="21" t="s">
        <v>322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>
        <f t="shared" si="5"/>
        <v>0</v>
      </c>
      <c r="AC69" s="114">
        <v>5.116</v>
      </c>
      <c r="AD69" s="115">
        <f t="shared" si="4"/>
        <v>0</v>
      </c>
      <c r="AE69" s="115">
        <f t="shared" si="6"/>
        <v>0</v>
      </c>
      <c r="AF69" s="25">
        <f t="shared" si="7"/>
        <v>0</v>
      </c>
      <c r="AG69" s="116">
        <f>-envases!X99*AB69</f>
        <v>0</v>
      </c>
    </row>
    <row r="70" spans="1:33" x14ac:dyDescent="0.25">
      <c r="A70" s="20">
        <v>993590</v>
      </c>
      <c r="B70" s="21" t="s">
        <v>323</v>
      </c>
      <c r="C70" s="29"/>
      <c r="D70" s="29"/>
      <c r="E70" s="29"/>
      <c r="F70" s="29"/>
      <c r="G70" s="29"/>
      <c r="H70" s="29"/>
      <c r="I70" s="29"/>
      <c r="J70" s="29">
        <v>54.42</v>
      </c>
      <c r="K70" s="29"/>
      <c r="L70" s="29">
        <v>54.42</v>
      </c>
      <c r="M70" s="29">
        <v>108.84</v>
      </c>
      <c r="N70" s="29">
        <v>27.21</v>
      </c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>
        <v>244.89000000000001</v>
      </c>
      <c r="AC70" s="114">
        <v>5</v>
      </c>
      <c r="AD70" s="115">
        <v>1224.45</v>
      </c>
      <c r="AE70" s="115">
        <v>36.7335</v>
      </c>
      <c r="AF70" s="25">
        <v>-18.36675</v>
      </c>
      <c r="AG70" s="116">
        <f>-envases!X116*AB70</f>
        <v>-12.981057438105658</v>
      </c>
    </row>
    <row r="71" spans="1:33" x14ac:dyDescent="0.25">
      <c r="A71" s="20">
        <v>993890</v>
      </c>
      <c r="B71" s="21" t="s">
        <v>324</v>
      </c>
      <c r="C71" s="29"/>
      <c r="D71" s="29">
        <v>27.21</v>
      </c>
      <c r="E71" s="29"/>
      <c r="F71" s="29"/>
      <c r="G71" s="29"/>
      <c r="H71" s="29"/>
      <c r="I71" s="29"/>
      <c r="J71" s="29"/>
      <c r="K71" s="29"/>
      <c r="L71" s="29">
        <v>27.21</v>
      </c>
      <c r="M71" s="29"/>
      <c r="N71" s="29">
        <v>54.42</v>
      </c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>
        <v>108.84</v>
      </c>
      <c r="AC71" s="114">
        <v>5.74</v>
      </c>
      <c r="AD71" s="115">
        <v>624.7416000000001</v>
      </c>
      <c r="AE71" s="115">
        <f t="shared" ref="AE71" si="8">+AD71*0.03</f>
        <v>18.742248</v>
      </c>
      <c r="AF71" s="25">
        <f t="shared" ref="AF71" si="9">-AD71*0.015</f>
        <v>-9.371124</v>
      </c>
      <c r="AG71" s="116">
        <f>-envases!X133*AB71</f>
        <v>-5.769358861380292</v>
      </c>
    </row>
    <row r="72" spans="1:33" x14ac:dyDescent="0.25">
      <c r="A72" s="20">
        <v>998136</v>
      </c>
      <c r="B72" s="21" t="s">
        <v>214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>
        <f t="shared" si="5"/>
        <v>0</v>
      </c>
      <c r="AC72" s="114">
        <v>6.7</v>
      </c>
      <c r="AD72" s="115">
        <f t="shared" si="4"/>
        <v>0</v>
      </c>
      <c r="AE72" s="117"/>
      <c r="AF72" s="117"/>
      <c r="AG72" s="116">
        <f>-envases!S235*AB72</f>
        <v>0</v>
      </c>
    </row>
    <row r="73" spans="1:33" x14ac:dyDescent="0.25">
      <c r="A73" s="20">
        <v>998160</v>
      </c>
      <c r="B73" s="21" t="s">
        <v>215</v>
      </c>
      <c r="C73" s="29"/>
      <c r="D73" s="29">
        <v>265.03</v>
      </c>
      <c r="E73" s="29">
        <v>218.68</v>
      </c>
      <c r="F73" s="29">
        <v>113.96</v>
      </c>
      <c r="G73" s="29">
        <v>137.81</v>
      </c>
      <c r="H73" s="29">
        <v>240.74</v>
      </c>
      <c r="I73" s="29">
        <v>280.08</v>
      </c>
      <c r="J73" s="29">
        <v>217.57</v>
      </c>
      <c r="K73" s="29">
        <v>28.26</v>
      </c>
      <c r="L73" s="29">
        <v>169.03</v>
      </c>
      <c r="M73" s="29">
        <v>59.62</v>
      </c>
      <c r="N73" s="29">
        <v>218.42</v>
      </c>
      <c r="O73" s="29">
        <v>89.23</v>
      </c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>
        <v>2038.4299999999998</v>
      </c>
      <c r="AC73" s="114">
        <v>5.57</v>
      </c>
      <c r="AD73" s="115">
        <v>11354.0551</v>
      </c>
      <c r="AE73" s="117"/>
      <c r="AF73" s="117"/>
      <c r="AG73" s="116">
        <f>-envases!N257*AB73</f>
        <v>-735.2217438414276</v>
      </c>
    </row>
    <row r="74" hidden="1" spans="1:33" x14ac:dyDescent="0.25">
      <c r="A74" s="20">
        <v>998560</v>
      </c>
      <c r="B74" s="21" t="s">
        <v>325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>
        <f t="shared" si="5"/>
        <v>0</v>
      </c>
      <c r="AC74" s="114">
        <v>7.31</v>
      </c>
      <c r="AD74" s="115">
        <f t="shared" si="4"/>
        <v>0</v>
      </c>
      <c r="AG74" s="116">
        <f>envases!S283*AB74</f>
        <v>0</v>
      </c>
    </row>
    <row r="75" spans="1:33" x14ac:dyDescent="0.25">
      <c r="A75" s="20">
        <v>998760</v>
      </c>
      <c r="B75" s="21" t="s">
        <v>326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>
        <f t="shared" si="5"/>
        <v>0</v>
      </c>
      <c r="AC75" s="114">
        <v>6.14</v>
      </c>
      <c r="AD75" s="115">
        <f t="shared" ref="AD75:AD114" si="10">AB75*AC75</f>
        <v>0</v>
      </c>
      <c r="AE75" s="115">
        <f t="shared" ref="AE75:AE81" si="11">+AD75*0.03</f>
        <v>0</v>
      </c>
      <c r="AF75" s="25">
        <f t="shared" ref="AF75:AF81" si="12">-AD75*0.015</f>
        <v>0</v>
      </c>
      <c r="AG75" s="116">
        <f>-envases!S299*AB75</f>
        <v>0</v>
      </c>
    </row>
    <row r="76" spans="1:33" x14ac:dyDescent="0.25">
      <c r="A76" s="54">
        <v>1987039</v>
      </c>
      <c r="B76" s="55" t="s">
        <v>327</v>
      </c>
      <c r="C76" s="29"/>
      <c r="D76" s="29">
        <v>2610.51</v>
      </c>
      <c r="E76" s="29">
        <v>2160.79</v>
      </c>
      <c r="F76" s="29">
        <v>1308</v>
      </c>
      <c r="G76" s="29"/>
      <c r="H76" s="29">
        <v>996.79</v>
      </c>
      <c r="I76" s="29">
        <v>985.13</v>
      </c>
      <c r="J76" s="29">
        <v>386.78</v>
      </c>
      <c r="K76" s="29"/>
      <c r="L76" s="29">
        <v>1625.17</v>
      </c>
      <c r="M76" s="29">
        <v>916.94</v>
      </c>
      <c r="N76" s="29">
        <v>908.14</v>
      </c>
      <c r="O76" s="29">
        <v>1766.56</v>
      </c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>
        <v>13664.81</v>
      </c>
      <c r="AC76" s="114">
        <v>5.3</v>
      </c>
      <c r="AD76" s="115">
        <v>72423.49299999999</v>
      </c>
      <c r="AE76" s="115">
        <v>2172.70479</v>
      </c>
      <c r="AF76" s="25">
        <v>-1086.352395</v>
      </c>
      <c r="AG76" s="116">
        <f>-envases!AM35*AB76</f>
        <v>-1465.3081290100592</v>
      </c>
    </row>
    <row r="77" spans="1:33" x14ac:dyDescent="0.25">
      <c r="A77" s="54">
        <v>1987060</v>
      </c>
      <c r="B77" s="55" t="s">
        <v>221</v>
      </c>
      <c r="C77" s="29"/>
      <c r="D77" s="29">
        <v>294.95</v>
      </c>
      <c r="E77" s="29">
        <v>131.02</v>
      </c>
      <c r="F77" s="29">
        <v>163.12</v>
      </c>
      <c r="G77" s="29">
        <v>598.39</v>
      </c>
      <c r="H77" s="29">
        <v>230.6</v>
      </c>
      <c r="I77" s="29"/>
      <c r="J77" s="29">
        <v>211.91</v>
      </c>
      <c r="K77" s="29"/>
      <c r="L77" s="29">
        <v>437.02</v>
      </c>
      <c r="M77" s="29">
        <v>188.7</v>
      </c>
      <c r="N77" s="29">
        <v>138.6</v>
      </c>
      <c r="O77" s="29">
        <v>328.63</v>
      </c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>
        <v>2722.94</v>
      </c>
      <c r="AC77" s="114">
        <v>9.225</v>
      </c>
      <c r="AD77" s="115">
        <v>25119.1215</v>
      </c>
      <c r="AE77" s="115">
        <v>753.573645</v>
      </c>
      <c r="AF77" s="25">
        <v>-376.7868225</v>
      </c>
      <c r="AG77" s="116">
        <f>-envases!AM53*AB77</f>
        <v>-928.3089672239743</v>
      </c>
    </row>
    <row r="78" spans="1:33" x14ac:dyDescent="0.25">
      <c r="A78" s="54">
        <v>1987139</v>
      </c>
      <c r="B78" s="55" t="s">
        <v>224</v>
      </c>
      <c r="C78" s="29"/>
      <c r="D78" s="29">
        <v>1074.45</v>
      </c>
      <c r="E78" s="29">
        <v>2472.79</v>
      </c>
      <c r="F78" s="29">
        <v>2267.89</v>
      </c>
      <c r="G78" s="29">
        <v>2165.69</v>
      </c>
      <c r="H78" s="29">
        <v>2898.08</v>
      </c>
      <c r="I78" s="29">
        <v>6261.87</v>
      </c>
      <c r="J78" s="29">
        <v>2603.99</v>
      </c>
      <c r="K78" s="29">
        <v>3156.65</v>
      </c>
      <c r="L78" s="29">
        <v>2700.97</v>
      </c>
      <c r="M78" s="29">
        <v>1570.17</v>
      </c>
      <c r="N78" s="29">
        <v>3285.66</v>
      </c>
      <c r="O78" s="29">
        <v>2612.95</v>
      </c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>
        <v>33071.16</v>
      </c>
      <c r="AC78" s="114">
        <v>7.325</v>
      </c>
      <c r="AD78" s="115">
        <v>242246.24700000003</v>
      </c>
      <c r="AE78" s="115">
        <v>7267.38741</v>
      </c>
      <c r="AF78" s="25">
        <v>-3633.693705</v>
      </c>
      <c r="AG78" s="116">
        <f>-envases!AM70*AB78</f>
        <v>-6170.4689881831</v>
      </c>
    </row>
    <row r="79" spans="1:33" x14ac:dyDescent="0.25">
      <c r="A79" s="54">
        <v>1987093</v>
      </c>
      <c r="B79" s="55" t="s">
        <v>222</v>
      </c>
      <c r="C79" s="29"/>
      <c r="D79" s="29"/>
      <c r="E79" s="29"/>
      <c r="F79" s="29"/>
      <c r="G79" s="29"/>
      <c r="H79" s="29"/>
      <c r="I79" s="29">
        <v>15.96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>
        <v>15.96</v>
      </c>
      <c r="AC79" s="114">
        <v>14.7</v>
      </c>
      <c r="AD79" s="115">
        <v>234.612</v>
      </c>
      <c r="AE79" s="115">
        <v>7.03836</v>
      </c>
      <c r="AF79" s="25">
        <v>-3.51918</v>
      </c>
      <c r="AG79" s="116">
        <f>-envases!AM104*AB79</f>
        <v>-4.320777312613568</v>
      </c>
    </row>
    <row r="80" spans="1:33" x14ac:dyDescent="0.25">
      <c r="A80" s="54">
        <v>1987160</v>
      </c>
      <c r="B80" s="55" t="s">
        <v>225</v>
      </c>
      <c r="C80" s="29"/>
      <c r="D80" s="29">
        <v>1516.05</v>
      </c>
      <c r="E80" s="29">
        <v>1216.48</v>
      </c>
      <c r="F80" s="29">
        <v>564.35</v>
      </c>
      <c r="G80" s="29">
        <v>1675.46</v>
      </c>
      <c r="H80" s="29">
        <v>1550.79</v>
      </c>
      <c r="I80" s="29"/>
      <c r="J80" s="29">
        <v>1119.56</v>
      </c>
      <c r="K80" s="29"/>
      <c r="L80" s="29">
        <v>1323.25</v>
      </c>
      <c r="M80" s="29">
        <v>626.1</v>
      </c>
      <c r="N80" s="29">
        <v>488.67</v>
      </c>
      <c r="O80" s="29">
        <v>1054.94</v>
      </c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>
        <v>11135.650000000001</v>
      </c>
      <c r="AC80" s="114">
        <v>8.825</v>
      </c>
      <c r="AD80" s="115">
        <v>98272.11125</v>
      </c>
      <c r="AE80" s="115">
        <v>2948.1633375</v>
      </c>
      <c r="AF80" s="25">
        <v>-1474.08166875</v>
      </c>
      <c r="AG80" s="116">
        <f>-envases!AM122*AB80</f>
        <v>-3887.1754266402772</v>
      </c>
    </row>
    <row r="81" hidden="1" spans="1:33" x14ac:dyDescent="0.25">
      <c r="A81" s="54">
        <v>1987193</v>
      </c>
      <c r="B81" s="55" t="s">
        <v>328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>
        <f t="shared" si="5"/>
        <v>0</v>
      </c>
      <c r="AC81" s="114">
        <v>12.725</v>
      </c>
      <c r="AD81" s="115">
        <f t="shared" si="10"/>
        <v>0</v>
      </c>
      <c r="AE81" s="115">
        <f t="shared" si="11"/>
        <v>0</v>
      </c>
      <c r="AF81" s="25">
        <f t="shared" si="12"/>
        <v>0</v>
      </c>
      <c r="AG81" s="116">
        <f>-envases!AM87*AB81</f>
        <v>0</v>
      </c>
    </row>
    <row r="82" spans="1:33" x14ac:dyDescent="0.25">
      <c r="A82" s="54">
        <v>1987960</v>
      </c>
      <c r="B82" s="55" t="s">
        <v>329</v>
      </c>
      <c r="C82" s="29"/>
      <c r="D82" s="29">
        <v>659.88</v>
      </c>
      <c r="E82" s="29">
        <v>641.65</v>
      </c>
      <c r="F82" s="29">
        <v>339.13</v>
      </c>
      <c r="G82" s="29">
        <v>768.48</v>
      </c>
      <c r="H82" s="29">
        <v>806.55</v>
      </c>
      <c r="I82" s="29">
        <v>125.41</v>
      </c>
      <c r="J82" s="29">
        <v>595.49</v>
      </c>
      <c r="K82" s="29"/>
      <c r="L82" s="29">
        <v>609.19</v>
      </c>
      <c r="M82" s="29">
        <v>178.86</v>
      </c>
      <c r="N82" s="29">
        <v>253.57</v>
      </c>
      <c r="O82" s="29">
        <v>426.62</v>
      </c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>
        <v>5404.829999999998</v>
      </c>
      <c r="AC82" s="114">
        <v>2.925</v>
      </c>
      <c r="AD82" s="115">
        <v>15809.127749999994</v>
      </c>
      <c r="AE82" s="115">
        <f>+AD82*0.03</f>
        <v>474.2738324999998</v>
      </c>
      <c r="AF82" s="25">
        <f>-AD82*0.015</f>
        <v>-237.1369162499999</v>
      </c>
      <c r="AG82" s="118">
        <f>-envases!AM139*AB82</f>
        <v>-683.6059312254191</v>
      </c>
    </row>
    <row r="83" spans="1:33" x14ac:dyDescent="0.25">
      <c r="A83" s="54">
        <v>1992139</v>
      </c>
      <c r="B83" s="55" t="s">
        <v>229</v>
      </c>
      <c r="C83" s="29"/>
      <c r="D83" s="29">
        <v>764.44</v>
      </c>
      <c r="E83" s="29">
        <v>198.57</v>
      </c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>
        <v>963.01</v>
      </c>
      <c r="AC83" s="119">
        <v>9</v>
      </c>
      <c r="AD83" s="115">
        <f t="shared" ref="AD83:AD84" si="13">AB83*AC83</f>
        <v>8667.09</v>
      </c>
      <c r="AE83" s="115">
        <f>+AD83*0.03</f>
        <v>260.0127</v>
      </c>
      <c r="AF83" s="25">
        <f>-AD83*0.015</f>
        <v>-130.00635</v>
      </c>
      <c r="AG83" s="132"/>
    </row>
    <row r="84" spans="1:33" x14ac:dyDescent="0.25">
      <c r="A84" s="54">
        <v>1994139</v>
      </c>
      <c r="B84" s="55" t="s">
        <v>230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>
        <f t="shared" si="5"/>
        <v>0</v>
      </c>
      <c r="AC84" s="119">
        <v>9.4</v>
      </c>
      <c r="AD84" s="115">
        <f t="shared" si="13"/>
        <v>0</v>
      </c>
      <c r="AE84" s="115">
        <f>+AD84*0.03</f>
        <v>0</v>
      </c>
      <c r="AF84" s="25">
        <f>-AD84*0.015</f>
        <v>0</v>
      </c>
      <c r="AG84" s="133"/>
    </row>
    <row r="85" spans="1:33" x14ac:dyDescent="0.25">
      <c r="A85" s="20">
        <v>2000035</v>
      </c>
      <c r="B85" s="21" t="s">
        <v>330</v>
      </c>
      <c r="C85" s="29"/>
      <c r="D85" s="29">
        <v>111.6</v>
      </c>
      <c r="E85" s="29">
        <v>352.89</v>
      </c>
      <c r="F85" s="29">
        <v>82.39</v>
      </c>
      <c r="G85" s="29">
        <v>80.57</v>
      </c>
      <c r="H85" s="29">
        <v>270.35</v>
      </c>
      <c r="I85" s="29">
        <v>108.65</v>
      </c>
      <c r="J85" s="29">
        <v>126.18</v>
      </c>
      <c r="K85" s="29">
        <v>261.33</v>
      </c>
      <c r="L85" s="29">
        <v>134.24</v>
      </c>
      <c r="M85" s="29"/>
      <c r="N85" s="29">
        <v>591.4</v>
      </c>
      <c r="O85" s="29">
        <v>398.56</v>
      </c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>
        <v>2518.16</v>
      </c>
      <c r="AC85" s="114">
        <v>4.5</v>
      </c>
      <c r="AD85" s="115">
        <v>11331.72</v>
      </c>
      <c r="AE85" s="117"/>
      <c r="AF85" s="117"/>
      <c r="AG85" s="124"/>
    </row>
    <row r="86" spans="1:33" x14ac:dyDescent="0.25">
      <c r="A86" s="20">
        <v>2000060</v>
      </c>
      <c r="B86" s="21" t="s">
        <v>331</v>
      </c>
      <c r="C86" s="29"/>
      <c r="D86" s="29">
        <v>643.64</v>
      </c>
      <c r="E86" s="29">
        <v>704.13</v>
      </c>
      <c r="F86" s="29">
        <v>788.16</v>
      </c>
      <c r="G86" s="29">
        <v>1002.31</v>
      </c>
      <c r="H86" s="29">
        <v>966</v>
      </c>
      <c r="I86" s="29">
        <v>38.05</v>
      </c>
      <c r="J86" s="29">
        <v>1007.37</v>
      </c>
      <c r="K86" s="29"/>
      <c r="L86" s="29">
        <v>1057.67</v>
      </c>
      <c r="M86" s="29">
        <v>620.89</v>
      </c>
      <c r="N86" s="29">
        <v>315.43</v>
      </c>
      <c r="O86" s="29">
        <v>708.57</v>
      </c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>
        <v>7852.22</v>
      </c>
      <c r="AC86" s="114">
        <v>5.5</v>
      </c>
      <c r="AD86" s="115">
        <v>43187.21</v>
      </c>
      <c r="AE86" s="126"/>
      <c r="AF86" s="127"/>
      <c r="AG86" s="125"/>
    </row>
    <row r="87" spans="1:33" x14ac:dyDescent="0.25">
      <c r="A87" s="54">
        <v>3516139</v>
      </c>
      <c r="B87" s="55" t="s">
        <v>332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>
        <f t="shared" si="5"/>
        <v>0</v>
      </c>
      <c r="AC87" s="114">
        <v>12.7</v>
      </c>
      <c r="AD87" s="115">
        <f t="shared" ref="AD87" si="14">AB87*AC87</f>
        <v>0</v>
      </c>
      <c r="AE87" s="129">
        <f t="shared" ref="AE87" si="15">+AD87*0.03</f>
        <v>0</v>
      </c>
      <c r="AF87" s="134">
        <f t="shared" ref="AF87" si="16">-AD87*0.015</f>
        <v>0</v>
      </c>
      <c r="AG87" s="116">
        <f>-envases!BQ82*AB87</f>
        <v>0</v>
      </c>
    </row>
    <row r="88" spans="1:33" x14ac:dyDescent="0.25">
      <c r="A88" s="54">
        <v>3516193</v>
      </c>
      <c r="B88" s="55" t="s">
        <v>240</v>
      </c>
      <c r="C88" s="29"/>
      <c r="D88" s="29">
        <v>23.37</v>
      </c>
      <c r="E88" s="29"/>
      <c r="F88" s="29"/>
      <c r="G88" s="29">
        <v>61.99</v>
      </c>
      <c r="H88" s="29"/>
      <c r="I88" s="29"/>
      <c r="J88" s="29">
        <v>10.14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>
        <v>95.5</v>
      </c>
      <c r="AC88" s="114">
        <v>13.6</v>
      </c>
      <c r="AD88" s="115">
        <v>1298.8</v>
      </c>
      <c r="AE88" s="129">
        <f t="shared" ref="AE88:AE93" si="17">+AD88*0.03</f>
        <v>38.964</v>
      </c>
      <c r="AF88" s="130">
        <f t="shared" ref="AF88:AF93" si="18">-AD88*0.015</f>
        <v>-19.482</v>
      </c>
      <c r="AG88" s="131">
        <f>-envases!BQ62*AB88</f>
        <v>-41.895223656577336</v>
      </c>
    </row>
    <row r="89" spans="1:33" x14ac:dyDescent="0.25">
      <c r="A89" s="54">
        <v>3516360</v>
      </c>
      <c r="B89" s="55" t="s">
        <v>241</v>
      </c>
      <c r="C89" s="29"/>
      <c r="D89" s="29"/>
      <c r="E89" s="29">
        <v>75.2</v>
      </c>
      <c r="F89" s="29">
        <v>36.96</v>
      </c>
      <c r="G89" s="29"/>
      <c r="H89" s="29"/>
      <c r="I89" s="29"/>
      <c r="J89" s="29">
        <v>84.49</v>
      </c>
      <c r="K89" s="29"/>
      <c r="L89" s="29">
        <v>78.25</v>
      </c>
      <c r="M89" s="29"/>
      <c r="N89" s="29"/>
      <c r="O89" s="29">
        <v>62.39</v>
      </c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>
        <v>337.28999999999996</v>
      </c>
      <c r="AC89" s="114">
        <v>20.925</v>
      </c>
      <c r="AD89" s="115">
        <v>7057.79325</v>
      </c>
      <c r="AE89" s="115">
        <v>211.73379749999998</v>
      </c>
      <c r="AF89" s="25">
        <v>-105.86689874999999</v>
      </c>
      <c r="AG89" s="116">
        <f>-envases!BQ22*AB89</f>
        <v>-105.34295492026038</v>
      </c>
    </row>
    <row r="90" spans="1:33" x14ac:dyDescent="0.25">
      <c r="A90" s="54">
        <v>3516460</v>
      </c>
      <c r="B90" s="55" t="s">
        <v>333</v>
      </c>
      <c r="C90" s="29"/>
      <c r="D90" s="29"/>
      <c r="E90" s="29"/>
      <c r="F90" s="29"/>
      <c r="G90" s="29"/>
      <c r="H90" s="29"/>
      <c r="I90" s="29"/>
      <c r="J90" s="29">
        <v>82.25</v>
      </c>
      <c r="K90" s="29"/>
      <c r="L90" s="29">
        <v>43.98</v>
      </c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>
        <v>126.22999999999999</v>
      </c>
      <c r="AC90" s="114">
        <v>14.2</v>
      </c>
      <c r="AD90" s="115">
        <v>1792.4659999999997</v>
      </c>
      <c r="AE90" s="115">
        <v>53.77397999999999</v>
      </c>
      <c r="AF90" s="25">
        <v>-26.886989999999994</v>
      </c>
      <c r="AG90" s="116">
        <f>-envases!BQ42*AB90</f>
        <v>-34.95222039351655</v>
      </c>
    </row>
    <row r="91" spans="1:33" x14ac:dyDescent="0.25">
      <c r="A91" s="54">
        <v>3673760</v>
      </c>
      <c r="B91" s="55" t="s">
        <v>245</v>
      </c>
      <c r="C91" s="29"/>
      <c r="D91" s="29"/>
      <c r="E91" s="29">
        <v>689.98</v>
      </c>
      <c r="F91" s="29">
        <v>74.49</v>
      </c>
      <c r="G91" s="29">
        <v>17.2</v>
      </c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>
        <v>781.6700000000001</v>
      </c>
      <c r="AC91" s="114">
        <v>12.725</v>
      </c>
      <c r="AD91" s="115">
        <v>9946.750750000001</v>
      </c>
      <c r="AE91" s="115">
        <v>298.40252250000003</v>
      </c>
      <c r="AF91" s="25">
        <v>-149.20126125000002</v>
      </c>
      <c r="AG91" s="116">
        <f>-envases!AR59*AB91</f>
        <v>-236.6364901563391</v>
      </c>
    </row>
    <row r="92" spans="1:33" x14ac:dyDescent="0.25">
      <c r="A92" s="54">
        <v>4516060</v>
      </c>
      <c r="B92" s="55" t="s">
        <v>334</v>
      </c>
      <c r="C92" s="29"/>
      <c r="D92" s="29">
        <v>25.12</v>
      </c>
      <c r="E92" s="29"/>
      <c r="F92" s="29"/>
      <c r="G92" s="29">
        <v>122.04</v>
      </c>
      <c r="H92" s="29"/>
      <c r="I92" s="29"/>
      <c r="J92" s="29"/>
      <c r="K92" s="29"/>
      <c r="L92" s="29">
        <v>38.12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>
        <v>185.28</v>
      </c>
      <c r="AC92" s="114">
        <v>12.925</v>
      </c>
      <c r="AD92" s="115">
        <v>2394.744</v>
      </c>
      <c r="AE92" s="115">
        <v>71.84232</v>
      </c>
      <c r="AF92" s="25">
        <v>-35.92116</v>
      </c>
      <c r="AG92" s="116">
        <f>-envases!BV62*AB92</f>
        <v>-62.993346297874865</v>
      </c>
    </row>
    <row r="93" spans="1:33" x14ac:dyDescent="0.25">
      <c r="A93" s="54">
        <v>4516093</v>
      </c>
      <c r="B93" s="55" t="s">
        <v>249</v>
      </c>
      <c r="C93" s="29"/>
      <c r="D93" s="29"/>
      <c r="E93" s="29"/>
      <c r="F93" s="29">
        <v>18.33</v>
      </c>
      <c r="G93" s="29"/>
      <c r="H93" s="29"/>
      <c r="I93" s="29">
        <v>19.26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>
        <v>37.59</v>
      </c>
      <c r="AC93" s="114">
        <v>15</v>
      </c>
      <c r="AD93" s="115">
        <v>563.85</v>
      </c>
      <c r="AE93" s="115">
        <v>16.9155</v>
      </c>
      <c r="AF93" s="25">
        <v>-8.45775</v>
      </c>
      <c r="AG93" s="116">
        <f>-envases!BV22*AB93</f>
        <v>-12.222171799733994</v>
      </c>
    </row>
    <row r="94" spans="1:33" x14ac:dyDescent="0.25">
      <c r="A94" s="54">
        <v>4516139</v>
      </c>
      <c r="B94" s="55" t="s">
        <v>250</v>
      </c>
      <c r="C94" s="29"/>
      <c r="D94" s="29">
        <v>2034.43</v>
      </c>
      <c r="E94" s="29">
        <v>367.31</v>
      </c>
      <c r="F94" s="29">
        <v>280.79</v>
      </c>
      <c r="G94" s="29"/>
      <c r="H94" s="29">
        <v>200.15</v>
      </c>
      <c r="I94" s="29">
        <v>638.41</v>
      </c>
      <c r="J94" s="29">
        <v>486.76</v>
      </c>
      <c r="K94" s="29">
        <v>6882.95</v>
      </c>
      <c r="L94" s="29">
        <v>193.8</v>
      </c>
      <c r="M94" s="29">
        <v>59.67</v>
      </c>
      <c r="N94" s="29">
        <v>717.16</v>
      </c>
      <c r="O94" s="29">
        <v>81.74</v>
      </c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>
        <v>11943.169999999998</v>
      </c>
      <c r="AC94" s="119">
        <v>8.8</v>
      </c>
      <c r="AD94" s="115">
        <f t="shared" ref="AD94" si="19">AB94*AC94</f>
        <v>105099.896</v>
      </c>
      <c r="AE94" s="115">
        <f t="shared" ref="AE94" si="20">+AD94*0.03</f>
        <v>3152.9968799999997</v>
      </c>
      <c r="AF94" s="25">
        <f t="shared" ref="AF94" si="21">-AD94*0.015</f>
        <v>-1576.4984399999998</v>
      </c>
      <c r="AG94" s="121"/>
    </row>
    <row r="95" spans="1:33" x14ac:dyDescent="0.25">
      <c r="A95" s="54">
        <v>4516160</v>
      </c>
      <c r="B95" s="55" t="s">
        <v>251</v>
      </c>
      <c r="C95" s="29"/>
      <c r="D95" s="29">
        <v>479.12</v>
      </c>
      <c r="E95" s="29">
        <v>176.14</v>
      </c>
      <c r="F95" s="29">
        <v>32.42</v>
      </c>
      <c r="G95" s="29">
        <v>216.38</v>
      </c>
      <c r="H95" s="29">
        <v>244.8</v>
      </c>
      <c r="I95" s="29"/>
      <c r="J95" s="29">
        <v>184.44</v>
      </c>
      <c r="K95" s="29"/>
      <c r="L95" s="29">
        <v>342.1</v>
      </c>
      <c r="M95" s="29">
        <v>12.65</v>
      </c>
      <c r="N95" s="29">
        <v>37.08</v>
      </c>
      <c r="O95" s="29">
        <v>99.45</v>
      </c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>
        <v>1824.5800000000002</v>
      </c>
      <c r="AC95" s="114">
        <v>10.567568</v>
      </c>
      <c r="AD95" s="115">
        <v>19281.37322144</v>
      </c>
      <c r="AE95" s="115">
        <f t="shared" ref="AE95:AE114" si="22">+AD95*0.03</f>
        <v>578.4411966432</v>
      </c>
      <c r="AF95" s="25">
        <f t="shared" ref="AF95:AF114" si="23">-AD95*0.015</f>
        <v>-289.2205983216</v>
      </c>
      <c r="AG95" s="116">
        <f>-envases!BV42*AB95</f>
        <v>-620.3389453161514</v>
      </c>
    </row>
    <row r="96" spans="1:33" x14ac:dyDescent="0.25">
      <c r="A96" s="54">
        <v>4543760</v>
      </c>
      <c r="B96" s="55" t="s">
        <v>335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>
        <f t="shared" si="5"/>
        <v>0</v>
      </c>
      <c r="AC96" s="114">
        <v>17</v>
      </c>
      <c r="AD96" s="115">
        <f t="shared" si="10"/>
        <v>0</v>
      </c>
      <c r="AE96" s="115">
        <f t="shared" si="22"/>
        <v>0</v>
      </c>
      <c r="AF96" s="25">
        <f t="shared" si="23"/>
        <v>0</v>
      </c>
      <c r="AG96" s="135">
        <f>-envases!CK22*AB96</f>
        <v>0</v>
      </c>
    </row>
    <row r="97" spans="1:33" x14ac:dyDescent="0.25">
      <c r="A97" s="54">
        <v>4543860</v>
      </c>
      <c r="B97" s="55" t="s">
        <v>336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>
        <f t="shared" si="5"/>
        <v>0</v>
      </c>
      <c r="AC97" s="114">
        <v>17</v>
      </c>
      <c r="AD97" s="115">
        <f t="shared" si="10"/>
        <v>0</v>
      </c>
      <c r="AE97" s="115">
        <f t="shared" si="22"/>
        <v>0</v>
      </c>
      <c r="AF97" s="25">
        <f t="shared" si="23"/>
        <v>0</v>
      </c>
      <c r="AG97" s="135">
        <f>-envases!CA42*AB97</f>
        <v>0</v>
      </c>
    </row>
    <row r="98" ht="13.5" customHeight="1" spans="1:33" s="136" customFormat="1" x14ac:dyDescent="0.25">
      <c r="A98" s="54">
        <v>4545160</v>
      </c>
      <c r="B98" s="55" t="s">
        <v>337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>
        <f t="shared" si="5"/>
        <v>0</v>
      </c>
      <c r="AC98" s="114">
        <v>15</v>
      </c>
      <c r="AD98" s="115">
        <f t="shared" si="10"/>
        <v>0</v>
      </c>
      <c r="AE98" s="115">
        <f t="shared" si="22"/>
        <v>0</v>
      </c>
      <c r="AF98" s="25">
        <f t="shared" si="23"/>
        <v>0</v>
      </c>
      <c r="AG98" s="116">
        <f>-envases!CF21*AB98</f>
        <v>0</v>
      </c>
    </row>
    <row r="99" ht="13.5" customHeight="1" spans="1:33" s="136" customFormat="1" x14ac:dyDescent="0.25">
      <c r="A99" s="54">
        <v>4545460</v>
      </c>
      <c r="B99" s="55" t="s">
        <v>338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>
        <f t="shared" si="5"/>
        <v>0</v>
      </c>
      <c r="AC99" s="114">
        <v>18</v>
      </c>
      <c r="AD99" s="115">
        <f t="shared" si="10"/>
        <v>0</v>
      </c>
      <c r="AE99" s="115">
        <f t="shared" si="22"/>
        <v>0</v>
      </c>
      <c r="AF99" s="25">
        <f t="shared" si="23"/>
        <v>0</v>
      </c>
      <c r="AG99" s="116">
        <f>-envases!CF41*AB99</f>
        <v>0</v>
      </c>
    </row>
    <row r="100" ht="13.5" customHeight="1" spans="1:33" s="136" customFormat="1" x14ac:dyDescent="0.25">
      <c r="A100" s="54">
        <v>4545960</v>
      </c>
      <c r="B100" s="55" t="s">
        <v>259</v>
      </c>
      <c r="C100" s="29"/>
      <c r="D100" s="29"/>
      <c r="E100" s="29"/>
      <c r="F100" s="29">
        <v>88.38</v>
      </c>
      <c r="G100" s="29"/>
      <c r="H100" s="29"/>
      <c r="I100" s="29">
        <v>171.5</v>
      </c>
      <c r="J100" s="29"/>
      <c r="K100" s="29">
        <v>89.6</v>
      </c>
      <c r="L100" s="29"/>
      <c r="M100" s="29">
        <v>49.34</v>
      </c>
      <c r="N100" s="29">
        <v>182.24</v>
      </c>
      <c r="O100" s="29">
        <v>78.78</v>
      </c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>
        <v>659.84</v>
      </c>
      <c r="AC100" s="114">
        <v>20.5</v>
      </c>
      <c r="AD100" s="115">
        <v>13526.720000000001</v>
      </c>
      <c r="AE100" s="115">
        <v>405.8016</v>
      </c>
      <c r="AF100" s="25">
        <v>-202.9008</v>
      </c>
      <c r="AG100" s="116">
        <f>-envases!CF61*AB100</f>
        <v>-295.8871234674018</v>
      </c>
    </row>
    <row r="101" ht="13.5" customHeight="1" spans="1:33" s="136" customFormat="1" x14ac:dyDescent="0.25">
      <c r="A101" s="54">
        <v>4546960</v>
      </c>
      <c r="B101" s="55" t="s">
        <v>339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>
        <f t="shared" si="5"/>
        <v>0</v>
      </c>
      <c r="AC101" s="114">
        <v>28</v>
      </c>
      <c r="AD101" s="115">
        <f>AB101*AC101</f>
        <v>0</v>
      </c>
      <c r="AE101" s="115">
        <f>+AD101*0.03</f>
        <v>0</v>
      </c>
      <c r="AF101" s="25">
        <f>-AD101*0.015</f>
        <v>0</v>
      </c>
      <c r="AG101" s="135">
        <f>-envases!CK22*AB101</f>
        <v>0</v>
      </c>
    </row>
    <row r="102" ht="13.5" customHeight="1" spans="1:33" s="136" customFormat="1" x14ac:dyDescent="0.25">
      <c r="A102" s="54">
        <v>4858160</v>
      </c>
      <c r="B102" s="55" t="s">
        <v>340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>
        <f t="shared" ref="AB102:AB118" si="24">SUM(C102:AA102)</f>
        <v>0</v>
      </c>
      <c r="AC102" s="114">
        <v>14.5</v>
      </c>
      <c r="AD102" s="115">
        <f t="shared" si="10"/>
        <v>0</v>
      </c>
      <c r="AE102" s="115">
        <f t="shared" si="22"/>
        <v>0</v>
      </c>
      <c r="AF102" s="25">
        <f t="shared" si="23"/>
        <v>0</v>
      </c>
      <c r="AG102" s="135">
        <f>-envases!CP21*AB102</f>
        <v>0</v>
      </c>
    </row>
    <row r="103" ht="13.5" customHeight="1" spans="1:33" s="136" customFormat="1" x14ac:dyDescent="0.25">
      <c r="A103" s="54">
        <v>4858460</v>
      </c>
      <c r="B103" s="55" t="s">
        <v>341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>
        <f t="shared" si="24"/>
        <v>0</v>
      </c>
      <c r="AC103" s="114">
        <v>14.5</v>
      </c>
      <c r="AD103" s="115">
        <f t="shared" si="10"/>
        <v>0</v>
      </c>
      <c r="AE103" s="115">
        <f t="shared" si="22"/>
        <v>0</v>
      </c>
      <c r="AF103" s="25">
        <f t="shared" si="23"/>
        <v>0</v>
      </c>
      <c r="AG103" s="135">
        <f>-envases!CP41*AB103</f>
        <v>0</v>
      </c>
    </row>
    <row r="104" ht="13.5" customHeight="1" spans="1:33" s="136" customFormat="1" x14ac:dyDescent="0.25">
      <c r="A104" s="54">
        <v>4858560</v>
      </c>
      <c r="B104" s="55" t="s">
        <v>342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>
        <f t="shared" si="24"/>
        <v>0</v>
      </c>
      <c r="AC104" s="114">
        <v>13.6</v>
      </c>
      <c r="AD104" s="115">
        <f t="shared" si="10"/>
        <v>0</v>
      </c>
      <c r="AE104" s="115">
        <f t="shared" si="22"/>
        <v>0</v>
      </c>
      <c r="AF104" s="25">
        <f t="shared" si="23"/>
        <v>0</v>
      </c>
      <c r="AG104" s="135">
        <f>-envases!CP61*AB104</f>
        <v>0</v>
      </c>
    </row>
    <row r="105" ht="13.5" customHeight="1" spans="1:33" s="136" customFormat="1" x14ac:dyDescent="0.25">
      <c r="A105" s="54">
        <v>4865060</v>
      </c>
      <c r="B105" s="55" t="s">
        <v>265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>
        <v>1787.2</v>
      </c>
      <c r="M105" s="29">
        <v>12.13</v>
      </c>
      <c r="N105" s="29">
        <v>69.99</v>
      </c>
      <c r="O105" s="29">
        <v>141.97</v>
      </c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>
        <v>2011.2900000000002</v>
      </c>
      <c r="AC105" s="119">
        <v>15.5</v>
      </c>
      <c r="AD105" s="115">
        <v>31174.995000000003</v>
      </c>
      <c r="AE105" s="115">
        <f t="shared" ref="AE105" si="25">+AD105*0.03</f>
        <v>935.24985</v>
      </c>
      <c r="AF105" s="25">
        <f t="shared" ref="AF105" si="26">-AD105*0.015</f>
        <v>-467.624925</v>
      </c>
      <c r="AG105" s="135">
        <f>-envases!CP183*AB105</f>
        <v>-948.3889627927903</v>
      </c>
    </row>
    <row r="106" ht="13.5" customHeight="1" spans="1:33" s="136" customFormat="1" x14ac:dyDescent="0.25">
      <c r="A106" s="54">
        <v>4865160</v>
      </c>
      <c r="B106" s="55" t="s">
        <v>340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>
        <f t="shared" si="24"/>
        <v>0</v>
      </c>
      <c r="AC106" s="114">
        <v>15.5</v>
      </c>
      <c r="AD106" s="115">
        <f t="shared" si="10"/>
        <v>0</v>
      </c>
      <c r="AE106" s="115">
        <f t="shared" si="22"/>
        <v>0</v>
      </c>
      <c r="AF106" s="25">
        <f t="shared" si="23"/>
        <v>0</v>
      </c>
      <c r="AG106" s="135">
        <f>-envases!CP80*AB106</f>
        <v>0</v>
      </c>
    </row>
    <row r="107" ht="13.5" customHeight="1" spans="1:33" s="136" customFormat="1" x14ac:dyDescent="0.25">
      <c r="A107" s="54">
        <v>5516193</v>
      </c>
      <c r="B107" s="55" t="s">
        <v>269</v>
      </c>
      <c r="C107" s="29"/>
      <c r="D107" s="29"/>
      <c r="E107" s="29"/>
      <c r="F107" s="29"/>
      <c r="G107" s="29"/>
      <c r="H107" s="29"/>
      <c r="I107" s="29"/>
      <c r="J107" s="29">
        <v>24.59</v>
      </c>
      <c r="K107" s="29">
        <v>24.93</v>
      </c>
      <c r="L107" s="29">
        <v>73.83</v>
      </c>
      <c r="M107" s="29"/>
      <c r="N107" s="29"/>
      <c r="O107" s="29">
        <v>24.94</v>
      </c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>
        <v>148.29</v>
      </c>
      <c r="AC107" s="119">
        <v>23.8</v>
      </c>
      <c r="AD107" s="115">
        <f t="shared" ref="AD107:AD110" si="27">AB107*AC107</f>
        <v>3529.302</v>
      </c>
      <c r="AE107" s="115">
        <f t="shared" ref="AE107:AE110" si="28">+AD107*0.03</f>
        <v>105.87906</v>
      </c>
      <c r="AF107" s="25">
        <f t="shared" ref="AF107:AF110" si="29">-AD107*0.015</f>
        <v>-52.93953</v>
      </c>
      <c r="AG107" s="121"/>
    </row>
    <row r="108" ht="13.5" customHeight="1" spans="1:33" s="136" customFormat="1" x14ac:dyDescent="0.25">
      <c r="A108" s="54">
        <v>5516239</v>
      </c>
      <c r="B108" s="55" t="s">
        <v>270</v>
      </c>
      <c r="C108" s="29"/>
      <c r="D108" s="29"/>
      <c r="E108" s="29">
        <v>268.91</v>
      </c>
      <c r="F108" s="29">
        <v>175.74</v>
      </c>
      <c r="G108" s="29">
        <v>11.59</v>
      </c>
      <c r="H108" s="29"/>
      <c r="I108" s="29"/>
      <c r="J108" s="29">
        <v>150.57</v>
      </c>
      <c r="K108" s="29"/>
      <c r="L108" s="29">
        <v>565.16</v>
      </c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>
        <v>1171.9699999999998</v>
      </c>
      <c r="AC108" s="119">
        <v>9.9</v>
      </c>
      <c r="AD108" s="115">
        <v>11602.502999999999</v>
      </c>
      <c r="AE108" s="115">
        <v>348.07508999999993</v>
      </c>
      <c r="AF108" s="25">
        <v>-174.03754499999997</v>
      </c>
      <c r="AG108" s="121"/>
    </row>
    <row r="109" ht="13.5" customHeight="1" spans="1:33" s="136" customFormat="1" x14ac:dyDescent="0.25">
      <c r="A109" s="54">
        <v>5516560</v>
      </c>
      <c r="B109" s="55" t="s">
        <v>271</v>
      </c>
      <c r="C109" s="29"/>
      <c r="D109" s="29"/>
      <c r="E109" s="29"/>
      <c r="F109" s="29">
        <v>275.98</v>
      </c>
      <c r="G109" s="29"/>
      <c r="H109" s="29"/>
      <c r="I109" s="29"/>
      <c r="J109" s="29">
        <v>109.45</v>
      </c>
      <c r="K109" s="29"/>
      <c r="L109" s="29">
        <v>78.34</v>
      </c>
      <c r="M109" s="29"/>
      <c r="N109" s="29"/>
      <c r="O109" s="29">
        <v>45.46</v>
      </c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>
        <v>509.22999999999996</v>
      </c>
      <c r="AC109" s="119">
        <v>29.3</v>
      </c>
      <c r="AD109" s="115">
        <v>14920.438999999998</v>
      </c>
      <c r="AE109" s="115">
        <v>447.6131699999999</v>
      </c>
      <c r="AF109" s="25">
        <v>-223.80658499999996</v>
      </c>
      <c r="AG109" s="135">
        <f>-envases!DJ57*AB109</f>
        <v>-156.2817676715551</v>
      </c>
    </row>
    <row r="110" ht="13.5" customHeight="1" spans="1:33" s="136" customFormat="1" x14ac:dyDescent="0.25">
      <c r="A110" s="54">
        <v>5516660</v>
      </c>
      <c r="B110" s="55" t="s">
        <v>272</v>
      </c>
      <c r="C110" s="29"/>
      <c r="D110" s="29"/>
      <c r="E110" s="29"/>
      <c r="F110" s="29">
        <v>356.39</v>
      </c>
      <c r="G110" s="29"/>
      <c r="H110" s="29"/>
      <c r="I110" s="29"/>
      <c r="J110" s="29">
        <v>171.26</v>
      </c>
      <c r="K110" s="29"/>
      <c r="L110" s="29">
        <v>100.97</v>
      </c>
      <c r="M110" s="29"/>
      <c r="N110" s="29"/>
      <c r="O110" s="29">
        <v>44.65</v>
      </c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>
        <v>673.27</v>
      </c>
      <c r="AC110" s="119">
        <v>32.8</v>
      </c>
      <c r="AD110" s="115">
        <v>22083.255999999998</v>
      </c>
      <c r="AE110" s="115">
        <v>662.49768</v>
      </c>
      <c r="AF110" s="25">
        <v>-331.24884</v>
      </c>
      <c r="AG110" s="135">
        <f>-envases!DJ76*AB110</f>
        <v>-205.08998547516356</v>
      </c>
    </row>
    <row r="111" ht="13.5" customHeight="1" hidden="1" spans="1:33" s="136" customFormat="1" x14ac:dyDescent="0.25">
      <c r="A111" s="54">
        <v>5596060</v>
      </c>
      <c r="B111" s="55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>
        <f t="shared" si="24"/>
        <v>0</v>
      </c>
      <c r="AC111" s="122"/>
      <c r="AD111" s="115">
        <f t="shared" si="10"/>
        <v>0</v>
      </c>
      <c r="AE111" s="115">
        <f t="shared" si="22"/>
        <v>0</v>
      </c>
      <c r="AF111" s="25">
        <f t="shared" si="23"/>
        <v>0</v>
      </c>
      <c r="AG111" s="116"/>
    </row>
    <row r="112" spans="1:33" x14ac:dyDescent="0.25">
      <c r="A112" s="54">
        <v>6172160</v>
      </c>
      <c r="B112" s="55" t="s">
        <v>344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>
        <f t="shared" si="24"/>
        <v>0</v>
      </c>
      <c r="AC112" s="114">
        <v>14.5</v>
      </c>
      <c r="AD112" s="115">
        <f t="shared" si="10"/>
        <v>0</v>
      </c>
      <c r="AE112" s="115">
        <f t="shared" si="22"/>
        <v>0</v>
      </c>
      <c r="AF112" s="25">
        <f t="shared" si="23"/>
        <v>0</v>
      </c>
      <c r="AG112" s="135">
        <f>-envases!CU21*AB112</f>
        <v>0</v>
      </c>
    </row>
    <row r="113" spans="1:33" x14ac:dyDescent="0.25">
      <c r="A113" s="54">
        <v>6173460</v>
      </c>
      <c r="B113" s="55" t="s">
        <v>345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>
        <f t="shared" si="24"/>
        <v>0</v>
      </c>
      <c r="AC113" s="114">
        <v>12.5</v>
      </c>
      <c r="AD113" s="115">
        <f t="shared" si="10"/>
        <v>0</v>
      </c>
      <c r="AE113" s="115">
        <f t="shared" si="22"/>
        <v>0</v>
      </c>
      <c r="AF113" s="25">
        <f t="shared" si="23"/>
        <v>0</v>
      </c>
      <c r="AG113" s="135">
        <f>-envases!CU39*AB113</f>
        <v>0</v>
      </c>
    </row>
    <row r="114" hidden="1" spans="1:33" x14ac:dyDescent="0.25">
      <c r="A114" s="54">
        <v>6173916</v>
      </c>
      <c r="B114" s="137" t="s">
        <v>344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>
        <f t="shared" si="24"/>
        <v>0</v>
      </c>
      <c r="AC114" s="114">
        <v>39.5</v>
      </c>
      <c r="AD114" s="138">
        <f t="shared" si="10"/>
        <v>0</v>
      </c>
      <c r="AE114" s="138">
        <f t="shared" si="22"/>
        <v>0</v>
      </c>
      <c r="AF114" s="139">
        <f t="shared" si="23"/>
        <v>0</v>
      </c>
      <c r="AG114" s="140">
        <f>-envases!CU59*AB114</f>
        <v>0</v>
      </c>
    </row>
    <row r="115" spans="1:33" x14ac:dyDescent="0.25">
      <c r="A115" s="56"/>
      <c r="B115" s="57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29"/>
      <c r="AC115" s="142"/>
      <c r="AD115" s="143"/>
      <c r="AE115" s="144"/>
      <c r="AF115" s="145"/>
      <c r="AG115" s="146"/>
    </row>
    <row r="116" ht="15" customHeight="1" spans="1:33" x14ac:dyDescent="0.25">
      <c r="A116" s="20">
        <v>5</v>
      </c>
      <c r="B116" s="147" t="s">
        <v>136</v>
      </c>
      <c r="C116" s="29"/>
      <c r="D116" s="29">
        <v>517.57</v>
      </c>
      <c r="E116" s="29">
        <v>439.76</v>
      </c>
      <c r="F116" s="29">
        <v>381.52</v>
      </c>
      <c r="G116" s="29">
        <v>41.81</v>
      </c>
      <c r="H116" s="29">
        <v>280.67</v>
      </c>
      <c r="I116" s="29">
        <v>170.64</v>
      </c>
      <c r="J116" s="29">
        <v>296.74</v>
      </c>
      <c r="K116" s="96">
        <v>187</v>
      </c>
      <c r="L116" s="29">
        <v>555.88</v>
      </c>
      <c r="M116" s="29">
        <v>354.64</v>
      </c>
      <c r="N116" s="29">
        <v>242.59</v>
      </c>
      <c r="O116" s="29">
        <v>284.31</v>
      </c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>
        <v>3753.13</v>
      </c>
      <c r="AC116" s="148"/>
      <c r="AD116" s="129">
        <f t="shared" ref="AD116:AD118" si="30">AB116*AC116</f>
        <v>0</v>
      </c>
      <c r="AE116" s="117"/>
      <c r="AF116" s="117"/>
      <c r="AG116" s="131"/>
    </row>
    <row r="117" ht="15" customHeight="1" spans="1:33" x14ac:dyDescent="0.25">
      <c r="A117" s="20">
        <v>50</v>
      </c>
      <c r="B117" s="21" t="s">
        <v>137</v>
      </c>
      <c r="C117" s="29">
        <v>5</v>
      </c>
      <c r="D117" s="29">
        <v>148.5</v>
      </c>
      <c r="E117" s="29">
        <v>150.8</v>
      </c>
      <c r="F117" s="29">
        <v>201.16</v>
      </c>
      <c r="G117" s="29">
        <v>162.15</v>
      </c>
      <c r="H117" s="29">
        <v>113.15</v>
      </c>
      <c r="I117" s="29">
        <v>27.4</v>
      </c>
      <c r="J117" s="29">
        <v>45</v>
      </c>
      <c r="K117" s="29"/>
      <c r="L117" s="29">
        <v>47</v>
      </c>
      <c r="M117" s="29">
        <v>103.44</v>
      </c>
      <c r="N117" s="29">
        <v>72.27</v>
      </c>
      <c r="O117" s="29">
        <v>64.97</v>
      </c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>
        <v>1140.84</v>
      </c>
      <c r="AC117" s="114">
        <v>0.4</v>
      </c>
      <c r="AD117" s="115">
        <v>456.336</v>
      </c>
      <c r="AE117" s="117"/>
      <c r="AF117" s="117"/>
      <c r="AG117" s="116"/>
    </row>
    <row r="118" ht="15" customHeight="1" spans="1:33" x14ac:dyDescent="0.25">
      <c r="A118" s="20">
        <v>96</v>
      </c>
      <c r="B118" s="21" t="s">
        <v>139</v>
      </c>
      <c r="C118" s="29"/>
      <c r="D118" s="29">
        <v>8</v>
      </c>
      <c r="E118" s="29">
        <v>5.5</v>
      </c>
      <c r="F118" s="29">
        <v>9</v>
      </c>
      <c r="G118" s="29">
        <v>4</v>
      </c>
      <c r="H118" s="29">
        <v>6</v>
      </c>
      <c r="I118" s="29">
        <v>6</v>
      </c>
      <c r="J118" s="29">
        <v>8</v>
      </c>
      <c r="K118" s="29">
        <v>2.2</v>
      </c>
      <c r="L118" s="29">
        <v>5.02</v>
      </c>
      <c r="M118" s="29"/>
      <c r="N118" s="29">
        <v>8</v>
      </c>
      <c r="O118" s="29">
        <v>2</v>
      </c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>
        <v>63.72</v>
      </c>
      <c r="AD118" s="115">
        <f t="shared" si="30"/>
        <v>0</v>
      </c>
      <c r="AE118" s="117"/>
      <c r="AF118" s="117"/>
      <c r="AG118" s="116"/>
    </row>
    <row r="119" ht="15" customHeight="1" spans="1:33" x14ac:dyDescent="0.25">
      <c r="A119" s="149"/>
      <c r="B119" s="150" t="s">
        <v>5</v>
      </c>
      <c r="C119" s="99">
        <f t="shared" ref="C119:AB119" si="31">SUM(C37:C118)</f>
        <v>168.4</v>
      </c>
      <c r="D119" s="99">
        <v>24215.729999999996</v>
      </c>
      <c r="E119" s="99">
        <v>23513.559999999998</v>
      </c>
      <c r="F119" s="99">
        <v>21513.420000000002</v>
      </c>
      <c r="G119" s="99">
        <v>20662.500000000004</v>
      </c>
      <c r="H119" s="99">
        <v>20330.559999999998</v>
      </c>
      <c r="I119" s="99">
        <v>18308.789999999997</v>
      </c>
      <c r="J119" s="99">
        <v>25773.309999999998</v>
      </c>
      <c r="K119" s="99">
        <v>12519.28</v>
      </c>
      <c r="L119" s="99">
        <v>25332.990000000005</v>
      </c>
      <c r="M119" s="99">
        <v>13020.640000000001</v>
      </c>
      <c r="N119" s="99">
        <v>17608.920000000006</v>
      </c>
      <c r="O119" s="99">
        <v>17495.640000000003</v>
      </c>
      <c r="P119" s="99">
        <f t="shared" si="31"/>
        <v>0</v>
      </c>
      <c r="Q119" s="99">
        <f t="shared" si="31"/>
        <v>0</v>
      </c>
      <c r="R119" s="99">
        <f t="shared" si="31"/>
        <v>0</v>
      </c>
      <c r="S119" s="99">
        <f t="shared" si="31"/>
        <v>0</v>
      </c>
      <c r="T119" s="99">
        <f t="shared" si="31"/>
        <v>0</v>
      </c>
      <c r="U119" s="99">
        <f t="shared" si="31"/>
        <v>0</v>
      </c>
      <c r="V119" s="99">
        <f t="shared" si="31"/>
        <v>0</v>
      </c>
      <c r="W119" s="99">
        <f t="shared" si="31"/>
        <v>0</v>
      </c>
      <c r="X119" s="99">
        <f t="shared" ref="X119:AA119" si="32">SUM(X37:X118)</f>
        <v>0</v>
      </c>
      <c r="Y119" s="99">
        <f t="shared" si="32"/>
        <v>0</v>
      </c>
      <c r="Z119" s="99">
        <f t="shared" si="32"/>
        <v>0</v>
      </c>
      <c r="AA119" s="99">
        <f t="shared" si="32"/>
        <v>0</v>
      </c>
      <c r="AB119" s="99">
        <v>240463.74000000002</v>
      </c>
      <c r="AC119" s="151"/>
      <c r="AD119" s="152">
        <f>SUM(AD37:AD118)</f>
        <v>1559180.2976844865</v>
      </c>
      <c r="AE119" s="152">
        <f>SUM(AE37:AE114)</f>
        <v>35756.23649464319</v>
      </c>
      <c r="AF119" s="153">
        <f>SUM(AF37:AF114)</f>
        <v>-17878.118247321596</v>
      </c>
      <c r="AG119" s="116">
        <f>SUM(AG37:AG118)</f>
        <v>-31863.532503175793</v>
      </c>
    </row>
    <row r="120" ht="15" customHeight="1" spans="1:30" x14ac:dyDescent="0.25">
      <c r="A120" s="154" t="s">
        <v>346</v>
      </c>
      <c r="B120" s="155"/>
      <c r="C120" s="156">
        <f>C33-C119</f>
        <v>-0.4900000000000091</v>
      </c>
      <c r="D120" s="157">
        <f>+D33-D119</f>
        <v>144.52000000000407</v>
      </c>
      <c r="E120" s="157">
        <f>+E33-E119</f>
        <v>43.26000000000204</v>
      </c>
      <c r="F120" s="157">
        <f t="shared" ref="F120:AB120" si="33">F33-F119</f>
        <v>310.00000000000364</v>
      </c>
      <c r="G120" s="157">
        <v>-635.2900000000045</v>
      </c>
      <c r="H120" s="157">
        <v>276.01000000000204</v>
      </c>
      <c r="I120" s="157">
        <v>-1060.9999999999964</v>
      </c>
      <c r="J120" s="157">
        <v>500.7200000000048</v>
      </c>
      <c r="K120" s="157">
        <v>0.8499999999985448</v>
      </c>
      <c r="L120" s="157">
        <v>271.76999999999316</v>
      </c>
      <c r="M120" s="157">
        <v>-121.76000000000022</v>
      </c>
      <c r="N120" s="157">
        <v>-521.8600000000042</v>
      </c>
      <c r="O120" s="157">
        <v>-1040.680000000004</v>
      </c>
      <c r="P120" s="157">
        <f t="shared" si="33"/>
        <v>0</v>
      </c>
      <c r="Q120" s="158">
        <f t="shared" si="33"/>
        <v>0</v>
      </c>
      <c r="R120" s="158">
        <f t="shared" si="33"/>
        <v>0</v>
      </c>
      <c r="S120" s="158">
        <f t="shared" si="33"/>
        <v>0</v>
      </c>
      <c r="T120" s="158">
        <f t="shared" si="33"/>
        <v>0</v>
      </c>
      <c r="U120" s="158">
        <f t="shared" si="33"/>
        <v>0</v>
      </c>
      <c r="V120" s="158">
        <f t="shared" si="33"/>
        <v>0</v>
      </c>
      <c r="W120" s="158">
        <f t="shared" si="33"/>
        <v>0</v>
      </c>
      <c r="X120" s="158">
        <f t="shared" ref="X120:AA120" si="34">X33-X119</f>
        <v>0</v>
      </c>
      <c r="Y120" s="158">
        <f t="shared" si="34"/>
        <v>0</v>
      </c>
      <c r="Z120" s="158">
        <f t="shared" si="34"/>
        <v>0</v>
      </c>
      <c r="AA120" s="158">
        <f t="shared" si="34"/>
        <v>0</v>
      </c>
      <c r="AB120" s="158">
        <v>-4071.99000000002</v>
      </c>
      <c r="AD120" s="159"/>
    </row>
    <row r="121" ht="15" customHeight="1" spans="1:30" x14ac:dyDescent="0.25">
      <c r="A121" s="160"/>
      <c r="B121" s="161" t="s">
        <v>275</v>
      </c>
      <c r="C121" s="75">
        <f t="shared" ref="C121:AB121" si="35">C119/C33</f>
        <v>1.002918230004169</v>
      </c>
      <c r="D121" s="75">
        <v>0.9940673843659238</v>
      </c>
      <c r="E121" s="75">
        <v>0.9981635891431865</v>
      </c>
      <c r="F121" s="75">
        <v>0.9857950770319224</v>
      </c>
      <c r="G121" s="75">
        <v>1.0317213431126955</v>
      </c>
      <c r="H121" s="75">
        <v>0.986605728173102</v>
      </c>
      <c r="I121" s="75">
        <v>1.0615151274453132</v>
      </c>
      <c r="J121" s="75">
        <v>0.9809423982540934</v>
      </c>
      <c r="K121" s="75">
        <v>0.9999321093311333</v>
      </c>
      <c r="L121" s="75">
        <v>0.9893859579234489</v>
      </c>
      <c r="M121" s="75">
        <v>1.0094395792502915</v>
      </c>
      <c r="N121" s="75">
        <v>1.0305412399792595</v>
      </c>
      <c r="O121" s="75">
        <v>1.0632441525230085</v>
      </c>
      <c r="P121" s="75" t="e">
        <v>#DIV/0!</v>
      </c>
      <c r="Q121" s="162" t="e">
        <v>#DIV/0!</v>
      </c>
      <c r="R121" s="162" t="e">
        <v>#DIV/0!</v>
      </c>
      <c r="S121" s="162" t="e">
        <v>#DIV/0!</v>
      </c>
      <c r="T121" s="162" t="e">
        <v>#DIV/0!</v>
      </c>
      <c r="U121" s="162" t="e">
        <v>#DIV/0!</v>
      </c>
      <c r="V121" s="162" t="e">
        <v>#DIV/0!</v>
      </c>
      <c r="W121" s="162" t="e">
        <v>#DIV/0!</v>
      </c>
      <c r="X121" s="162" t="e">
        <f t="shared" ref="X121:AA121" si="36">X119/X33</f>
        <v>#DIV/0!</v>
      </c>
      <c r="Y121" s="162" t="e">
        <v>#DIV/0!</v>
      </c>
      <c r="Z121" s="162" t="e">
        <v>#DIV/0!</v>
      </c>
      <c r="AA121" s="162" t="e">
        <v>#DIV/0!</v>
      </c>
      <c r="AB121" s="162">
        <v>1.0172256011472482</v>
      </c>
      <c r="AD121" s="163"/>
    </row>
    <row r="122" ht="15" customHeight="1" spans="2:30" x14ac:dyDescent="0.25">
      <c r="B122" s="164" t="s">
        <v>277</v>
      </c>
      <c r="C122" s="165">
        <f t="shared" ref="C122:AA122" si="37">C35</f>
        <v>46235</v>
      </c>
      <c r="D122" s="165">
        <v>46237</v>
      </c>
      <c r="E122" s="165">
        <v>46238</v>
      </c>
      <c r="F122" s="165">
        <v>46239</v>
      </c>
      <c r="G122" s="165">
        <v>46240</v>
      </c>
      <c r="H122" s="165">
        <v>46241</v>
      </c>
      <c r="I122" s="165">
        <v>46242</v>
      </c>
      <c r="J122" s="165">
        <v>46244</v>
      </c>
      <c r="K122" s="165">
        <v>46245</v>
      </c>
      <c r="L122" s="165">
        <v>46246</v>
      </c>
      <c r="M122" s="165">
        <v>46247</v>
      </c>
      <c r="N122" s="165">
        <v>46248</v>
      </c>
      <c r="O122" s="165">
        <v>46249</v>
      </c>
      <c r="P122" s="165">
        <v>46251</v>
      </c>
      <c r="Q122" s="165">
        <v>46252</v>
      </c>
      <c r="R122" s="165">
        <v>46253</v>
      </c>
      <c r="S122" s="165">
        <v>46254</v>
      </c>
      <c r="T122" s="165">
        <v>46255</v>
      </c>
      <c r="U122" s="165">
        <v>46256</v>
      </c>
      <c r="V122" s="165">
        <v>46257</v>
      </c>
      <c r="W122" s="165">
        <v>46258</v>
      </c>
      <c r="X122" s="165">
        <v>46259</v>
      </c>
      <c r="Y122" s="165">
        <v>46260</v>
      </c>
      <c r="Z122" s="165">
        <v>46261</v>
      </c>
      <c r="AA122" s="165">
        <v>46262</v>
      </c>
      <c r="AB122" s="166" t="s">
        <v>5</v>
      </c>
      <c r="AC122" s="166" t="s">
        <v>347</v>
      </c>
      <c r="AD122" s="166" t="s">
        <v>348</v>
      </c>
    </row>
    <row r="123" ht="15" customHeight="1" spans="2:30" x14ac:dyDescent="0.25">
      <c r="B123" s="30" t="s">
        <v>349</v>
      </c>
      <c r="C123" s="167">
        <v>144</v>
      </c>
      <c r="D123" s="167">
        <v>144</v>
      </c>
      <c r="E123" s="167">
        <v>144</v>
      </c>
      <c r="F123" s="167">
        <v>144</v>
      </c>
      <c r="G123" s="167">
        <v>144</v>
      </c>
      <c r="H123" s="167">
        <v>144</v>
      </c>
      <c r="I123" s="167">
        <v>144</v>
      </c>
      <c r="J123" s="167">
        <v>144</v>
      </c>
      <c r="K123" s="167">
        <v>144</v>
      </c>
      <c r="L123" s="167">
        <v>144</v>
      </c>
      <c r="M123" s="167">
        <v>144</v>
      </c>
      <c r="N123" s="167">
        <v>144</v>
      </c>
      <c r="O123" s="167">
        <v>144</v>
      </c>
      <c r="P123" s="167">
        <v>144</v>
      </c>
      <c r="Q123" s="167">
        <v>144</v>
      </c>
      <c r="R123" s="167">
        <v>144</v>
      </c>
      <c r="S123" s="167">
        <v>144</v>
      </c>
      <c r="T123" s="167">
        <v>144</v>
      </c>
      <c r="U123" s="167">
        <v>144</v>
      </c>
      <c r="V123" s="167">
        <v>144</v>
      </c>
      <c r="W123" s="167">
        <v>144</v>
      </c>
      <c r="X123" s="167">
        <v>144</v>
      </c>
      <c r="Y123" s="167">
        <v>144</v>
      </c>
      <c r="Z123" s="167">
        <v>144</v>
      </c>
      <c r="AA123" s="167">
        <v>144</v>
      </c>
      <c r="AB123" s="115">
        <f>SUM(C123:AA123)</f>
        <v>3600</v>
      </c>
      <c r="AC123" s="168">
        <f>'mano de obra'!J14</f>
        <v>8.620268322628458</v>
      </c>
      <c r="AD123" s="115">
        <f>AB123*AC123</f>
        <v>31032.96596146245</v>
      </c>
    </row>
    <row r="124" ht="15" customHeight="1" spans="2:30" x14ac:dyDescent="0.25">
      <c r="B124" s="30" t="s">
        <v>350</v>
      </c>
      <c r="C124" s="167">
        <v>350</v>
      </c>
      <c r="D124" s="167">
        <v>350</v>
      </c>
      <c r="E124" s="167">
        <v>350</v>
      </c>
      <c r="F124" s="167">
        <v>350</v>
      </c>
      <c r="G124" s="167">
        <v>350</v>
      </c>
      <c r="H124" s="167">
        <v>350</v>
      </c>
      <c r="I124" s="167">
        <v>350</v>
      </c>
      <c r="J124" s="167">
        <v>350</v>
      </c>
      <c r="K124" s="167">
        <v>350</v>
      </c>
      <c r="L124" s="167">
        <v>350</v>
      </c>
      <c r="M124" s="167">
        <v>350</v>
      </c>
      <c r="N124" s="167">
        <v>350</v>
      </c>
      <c r="O124" s="167">
        <v>350</v>
      </c>
      <c r="P124" s="167">
        <v>350</v>
      </c>
      <c r="Q124" s="167">
        <v>350</v>
      </c>
      <c r="R124" s="167">
        <v>350</v>
      </c>
      <c r="S124" s="167">
        <v>350</v>
      </c>
      <c r="T124" s="167">
        <v>350</v>
      </c>
      <c r="U124" s="167">
        <v>350</v>
      </c>
      <c r="V124" s="167">
        <v>350</v>
      </c>
      <c r="W124" s="167">
        <v>350</v>
      </c>
      <c r="X124" s="167">
        <v>350</v>
      </c>
      <c r="Y124" s="167">
        <v>350</v>
      </c>
      <c r="Z124" s="167">
        <v>350</v>
      </c>
      <c r="AA124" s="167">
        <v>350</v>
      </c>
      <c r="AB124" s="115">
        <f>SUM(C124:AA124)</f>
        <v>8750</v>
      </c>
      <c r="AC124" s="168">
        <f>'mano de obra'!J17</f>
        <v>10.310029644268775</v>
      </c>
      <c r="AD124" s="115">
        <f>AB124*AC124</f>
        <v>90212.75938735179</v>
      </c>
    </row>
    <row r="125" ht="15" customHeight="1" spans="2:30" x14ac:dyDescent="0.25">
      <c r="B125" s="30" t="s">
        <v>351</v>
      </c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15">
        <f>SUM(C125:AA125)</f>
        <v>0</v>
      </c>
      <c r="AC125" s="168"/>
      <c r="AD125" s="115">
        <f>AB125*AC125</f>
        <v>0</v>
      </c>
    </row>
    <row r="126" ht="15" customHeight="1" spans="2:30" x14ac:dyDescent="0.25">
      <c r="B126" s="30" t="s">
        <v>352</v>
      </c>
      <c r="C126" s="167">
        <v>64</v>
      </c>
      <c r="D126" s="167">
        <v>64</v>
      </c>
      <c r="E126" s="167">
        <v>64</v>
      </c>
      <c r="F126" s="167">
        <v>64</v>
      </c>
      <c r="G126" s="167">
        <v>64</v>
      </c>
      <c r="H126" s="167">
        <v>64</v>
      </c>
      <c r="I126" s="167">
        <v>64</v>
      </c>
      <c r="J126" s="167">
        <v>64</v>
      </c>
      <c r="K126" s="167">
        <v>64</v>
      </c>
      <c r="L126" s="167">
        <v>64</v>
      </c>
      <c r="M126" s="167">
        <v>64</v>
      </c>
      <c r="N126" s="167">
        <v>64</v>
      </c>
      <c r="O126" s="167">
        <v>64</v>
      </c>
      <c r="P126" s="167">
        <v>64</v>
      </c>
      <c r="Q126" s="167">
        <v>64</v>
      </c>
      <c r="R126" s="167">
        <v>64</v>
      </c>
      <c r="S126" s="167">
        <v>64</v>
      </c>
      <c r="T126" s="167">
        <v>64</v>
      </c>
      <c r="U126" s="167">
        <v>64</v>
      </c>
      <c r="V126" s="167">
        <v>64</v>
      </c>
      <c r="W126" s="167">
        <v>64</v>
      </c>
      <c r="X126" s="167">
        <v>64</v>
      </c>
      <c r="Y126" s="167">
        <v>64</v>
      </c>
      <c r="Z126" s="167">
        <v>64</v>
      </c>
      <c r="AA126" s="167">
        <v>64</v>
      </c>
      <c r="AB126" s="115">
        <f>SUM(C126:AA126)</f>
        <v>1600</v>
      </c>
      <c r="AC126" s="168">
        <f>+AC124</f>
        <v>10.310029644268775</v>
      </c>
      <c r="AD126" s="115">
        <f>AB126*AC126</f>
        <v>16496.04743083004</v>
      </c>
    </row>
    <row r="127" ht="15" customHeight="1" spans="2:31" x14ac:dyDescent="0.25">
      <c r="B127" s="43" t="s">
        <v>353</v>
      </c>
      <c r="C127" s="152">
        <f t="shared" ref="C127:AB127" si="38">SUM(C123:C126)</f>
        <v>558</v>
      </c>
      <c r="D127" s="152">
        <v>558</v>
      </c>
      <c r="E127" s="152">
        <v>558</v>
      </c>
      <c r="F127" s="152">
        <v>558</v>
      </c>
      <c r="G127" s="152">
        <v>558</v>
      </c>
      <c r="H127" s="152">
        <v>558</v>
      </c>
      <c r="I127" s="152">
        <v>558</v>
      </c>
      <c r="J127" s="152">
        <v>558</v>
      </c>
      <c r="K127" s="152">
        <v>558</v>
      </c>
      <c r="L127" s="152">
        <v>558</v>
      </c>
      <c r="M127" s="152">
        <v>558</v>
      </c>
      <c r="N127" s="152">
        <v>558</v>
      </c>
      <c r="O127" s="152">
        <v>558</v>
      </c>
      <c r="P127" s="152">
        <v>558</v>
      </c>
      <c r="Q127" s="152">
        <f t="shared" ref="Q127:S127" si="39">SUM(Q123:Q126)</f>
        <v>558</v>
      </c>
      <c r="R127" s="152">
        <v>558</v>
      </c>
      <c r="S127" s="152">
        <v>558</v>
      </c>
      <c r="T127" s="152">
        <f t="shared" ref="T127:W127" si="40">SUM(T123:T126)</f>
        <v>558</v>
      </c>
      <c r="U127" s="152">
        <v>558</v>
      </c>
      <c r="V127" s="152">
        <v>558</v>
      </c>
      <c r="W127" s="152">
        <v>558</v>
      </c>
      <c r="X127" s="152">
        <f t="shared" ref="X127:AA127" si="41">SUM(X123:X126)</f>
        <v>558</v>
      </c>
      <c r="Y127" s="152">
        <v>558</v>
      </c>
      <c r="Z127" s="152">
        <v>558</v>
      </c>
      <c r="AA127" s="152">
        <v>558</v>
      </c>
      <c r="AB127" s="152">
        <v>13950</v>
      </c>
      <c r="AC127" s="152"/>
      <c r="AD127" s="152">
        <f>SUM(AD123:AD126)</f>
        <v>137741.7727796443</v>
      </c>
      <c r="AE127" s="169">
        <f>AD127/AB119</f>
        <v>0.5728172271613353</v>
      </c>
    </row>
    <row r="129" ht="15" customHeight="1" spans="2:28" x14ac:dyDescent="0.25">
      <c r="B129" s="1" t="s">
        <v>282</v>
      </c>
      <c r="AB129" s="25">
        <f>AG119</f>
        <v>-31863.532503175793</v>
      </c>
    </row>
    <row r="130" ht="15" customHeight="1" spans="2:28" x14ac:dyDescent="0.25">
      <c r="B130" s="1" t="s">
        <v>283</v>
      </c>
      <c r="AB130" s="25">
        <f>-0.1*AB119</f>
        <v>-24046.374000000003</v>
      </c>
    </row>
    <row r="131" ht="15" customHeight="1" spans="2:28" x14ac:dyDescent="0.25">
      <c r="B131" s="1" t="s">
        <v>284</v>
      </c>
      <c r="AB131" s="25">
        <f>-AE127*AB119</f>
        <v>-137741.7727796443</v>
      </c>
    </row>
    <row r="132" ht="15" customHeight="1" spans="2:28" x14ac:dyDescent="0.25">
      <c r="B132" s="1" t="s">
        <v>285</v>
      </c>
      <c r="AB132" s="25">
        <f>-0.178*AB119</f>
        <v>-42802.54572</v>
      </c>
    </row>
  </sheetData>
  <pageMargins left="0" right="0" top="0.590277777777778" bottom="0" header="0.511811023622047" footer="0.511811023622047"/>
  <pageSetup orientation="landscape" horizontalDpi="300" verticalDpi="300" scale="37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F112"/>
  <sheetViews>
    <sheetView workbookViewId="0" zoomScale="100" zoomScaleNormal="100">
      <pane xSplit="1" topLeftCell="B1" activePane="topRight" state="frozen"/>
      <selection pane="topRight" activeCell="L88" sqref="L88"/>
    </sheetView>
  </sheetViews>
  <sheetFormatPr defaultRowHeight="12" outlineLevelRow="0" outlineLevelCol="0" x14ac:dyDescent="0.2" defaultColWidth="11.42578125" customHeight="1"/>
  <cols>
    <col min="1" max="1" width="11.42578125" style="1" customWidth="1"/>
    <col min="2" max="2" width="44.140625" style="1" customWidth="1"/>
    <col min="3" max="3" width="7.5703125" style="96" hidden="1" customWidth="1"/>
    <col min="4" max="9" width="7.85546875" style="96" hidden="1" customWidth="1"/>
    <col min="10" max="27" width="8.42578125" style="96" hidden="1" customWidth="1"/>
    <col min="28" max="31" width="11.42578125" style="170" customWidth="1"/>
    <col min="32" max="32" width="11.28515625" style="170" customWidth="1"/>
    <col min="33" max="16384" width="11.42578125" style="170" customWidth="1"/>
  </cols>
  <sheetData>
    <row r="2" spans="1:30" x14ac:dyDescent="0.25">
      <c r="A2" s="97"/>
      <c r="B2" s="97" t="s">
        <v>354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00" t="s">
        <v>3</v>
      </c>
      <c r="AC2" s="100" t="s">
        <v>4</v>
      </c>
      <c r="AD2" s="100" t="s">
        <v>5</v>
      </c>
    </row>
    <row r="3" spans="1:30" x14ac:dyDescent="0.25">
      <c r="A3" s="101" t="s">
        <v>290</v>
      </c>
      <c r="B3" s="102" t="s">
        <v>291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04" t="s">
        <v>8</v>
      </c>
      <c r="AC3" s="104" t="s">
        <v>9</v>
      </c>
      <c r="AD3" s="104" t="s">
        <v>9</v>
      </c>
    </row>
    <row r="4" spans="1:30" x14ac:dyDescent="0.25">
      <c r="A4" s="173">
        <v>980006</v>
      </c>
      <c r="B4" s="174" t="s">
        <v>40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>
        <f t="shared" ref="AB4:AB31" si="0">SUM(C4:AA4)</f>
        <v>0</v>
      </c>
      <c r="AC4" s="175">
        <v>7.6</v>
      </c>
      <c r="AD4" s="176">
        <f t="shared" ref="AD4:AD58" si="1">AC4*AB4</f>
        <v>0</v>
      </c>
    </row>
    <row r="5" spans="1:30" x14ac:dyDescent="0.25">
      <c r="A5" s="173">
        <v>980024</v>
      </c>
      <c r="B5" s="174" t="s">
        <v>44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>
        <v>113.3</v>
      </c>
      <c r="AC5" s="24">
        <f>681/1.1391184/40.48</f>
        <v>14.768546034937431</v>
      </c>
      <c r="AD5" s="176">
        <v>1673.276265758411</v>
      </c>
    </row>
    <row r="6" spans="1:30" x14ac:dyDescent="0.25">
      <c r="A6" s="173">
        <v>980026</v>
      </c>
      <c r="B6" s="174" t="s">
        <v>46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>
        <f t="shared" si="0"/>
        <v>0</v>
      </c>
      <c r="AC6" s="175">
        <v>6.01</v>
      </c>
      <c r="AD6" s="176">
        <f t="shared" si="1"/>
        <v>0</v>
      </c>
    </row>
    <row r="7" spans="1:30" x14ac:dyDescent="0.25">
      <c r="A7" s="173">
        <v>980090</v>
      </c>
      <c r="B7" s="174" t="s">
        <v>57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>
        <v>1171.59</v>
      </c>
      <c r="AC7" s="175">
        <v>5.5</v>
      </c>
      <c r="AD7" s="176">
        <v>6443.745</v>
      </c>
    </row>
    <row r="8" spans="1:30" x14ac:dyDescent="0.25">
      <c r="A8" s="173">
        <v>980091</v>
      </c>
      <c r="B8" s="174" t="s">
        <v>355</v>
      </c>
      <c r="C8" s="177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>
        <v>63.88</v>
      </c>
      <c r="AC8" s="175">
        <v>5.5</v>
      </c>
      <c r="AD8" s="176">
        <v>351.34000000000003</v>
      </c>
    </row>
    <row r="9" spans="1:30" x14ac:dyDescent="0.25">
      <c r="A9" s="173">
        <v>991026</v>
      </c>
      <c r="B9" s="174" t="s">
        <v>356</v>
      </c>
      <c r="C9" s="177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>
        <f t="shared" si="0"/>
        <v>0</v>
      </c>
      <c r="AC9" s="175">
        <v>6.01</v>
      </c>
      <c r="AD9" s="176">
        <f t="shared" si="1"/>
        <v>0</v>
      </c>
    </row>
    <row r="10" spans="1:30" x14ac:dyDescent="0.25">
      <c r="A10" s="173">
        <v>2000006</v>
      </c>
      <c r="B10" s="174" t="s">
        <v>357</v>
      </c>
      <c r="C10" s="177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>
        <f t="shared" si="0"/>
        <v>0</v>
      </c>
      <c r="AC10" s="175">
        <v>6.3</v>
      </c>
      <c r="AD10" s="176">
        <f t="shared" si="1"/>
        <v>0</v>
      </c>
    </row>
    <row r="11" spans="1:30" x14ac:dyDescent="0.25">
      <c r="A11" s="173">
        <v>2000008</v>
      </c>
      <c r="B11" s="174" t="s">
        <v>358</v>
      </c>
      <c r="C11" s="177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>
        <v>5034.049999999999</v>
      </c>
      <c r="AC11" s="175">
        <v>4.5</v>
      </c>
      <c r="AD11" s="176">
        <v>22653.225</v>
      </c>
    </row>
    <row r="12" spans="1:30" x14ac:dyDescent="0.25">
      <c r="A12" s="173">
        <v>2000012</v>
      </c>
      <c r="B12" s="174" t="s">
        <v>359</v>
      </c>
      <c r="C12" s="177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>
        <v>4856.19</v>
      </c>
      <c r="AC12" s="175">
        <v>7.4</v>
      </c>
      <c r="AD12" s="176">
        <v>35935.806</v>
      </c>
    </row>
    <row r="13" spans="1:30" x14ac:dyDescent="0.25">
      <c r="A13" s="173">
        <v>2000022</v>
      </c>
      <c r="B13" s="174" t="s">
        <v>360</v>
      </c>
      <c r="C13" s="177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>
        <v>21.48</v>
      </c>
      <c r="AC13" s="175">
        <v>6.5</v>
      </c>
      <c r="AD13" s="176">
        <v>139.62</v>
      </c>
    </row>
    <row r="14" spans="1:30" x14ac:dyDescent="0.25">
      <c r="A14" s="173">
        <v>2000023</v>
      </c>
      <c r="B14" s="174" t="s">
        <v>361</v>
      </c>
      <c r="C14" s="177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>
        <f t="shared" si="0"/>
        <v>0</v>
      </c>
      <c r="AC14" s="175">
        <v>6.5</v>
      </c>
      <c r="AD14" s="176">
        <f t="shared" si="1"/>
        <v>0</v>
      </c>
    </row>
    <row r="15" spans="1:30" x14ac:dyDescent="0.25">
      <c r="A15" s="173">
        <v>2000026</v>
      </c>
      <c r="B15" s="174" t="s">
        <v>362</v>
      </c>
      <c r="C15" s="177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>
        <v>3861.29</v>
      </c>
      <c r="AC15" s="175">
        <v>6.5</v>
      </c>
      <c r="AD15" s="176">
        <v>25098.385</v>
      </c>
    </row>
    <row r="16" spans="1:30" x14ac:dyDescent="0.25">
      <c r="A16" s="173">
        <v>2000027</v>
      </c>
      <c r="B16" s="174" t="s">
        <v>363</v>
      </c>
      <c r="C16" s="177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>
        <v>16570.09</v>
      </c>
      <c r="AC16" s="175">
        <v>6.5</v>
      </c>
      <c r="AD16" s="176">
        <v>107705.585</v>
      </c>
    </row>
    <row r="17" spans="1:30" x14ac:dyDescent="0.25">
      <c r="A17" s="173">
        <v>2000028</v>
      </c>
      <c r="B17" s="174" t="s">
        <v>75</v>
      </c>
      <c r="C17" s="177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>
        <f t="shared" si="0"/>
        <v>0</v>
      </c>
      <c r="AC17" s="175">
        <v>6.5</v>
      </c>
      <c r="AD17" s="176">
        <f t="shared" si="1"/>
        <v>0</v>
      </c>
    </row>
    <row r="18" hidden="1" spans="1:30" x14ac:dyDescent="0.25">
      <c r="A18" s="173">
        <v>2000031</v>
      </c>
      <c r="B18" s="174" t="s">
        <v>364</v>
      </c>
      <c r="C18" s="177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>
        <f t="shared" si="0"/>
        <v>0</v>
      </c>
      <c r="AC18" s="175">
        <v>7.4</v>
      </c>
      <c r="AD18" s="176">
        <f t="shared" si="1"/>
        <v>0</v>
      </c>
    </row>
    <row r="19" spans="1:30" x14ac:dyDescent="0.25">
      <c r="A19" s="173">
        <v>2000032</v>
      </c>
      <c r="B19" s="174" t="s">
        <v>77</v>
      </c>
      <c r="C19" s="177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>
        <v>3630.35</v>
      </c>
      <c r="AC19" s="175">
        <v>5.5</v>
      </c>
      <c r="AD19" s="176">
        <v>19966.925</v>
      </c>
    </row>
    <row r="20" spans="1:30" x14ac:dyDescent="0.25">
      <c r="A20" s="173">
        <v>2000035</v>
      </c>
      <c r="B20" s="174" t="s">
        <v>365</v>
      </c>
      <c r="C20" s="177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>
        <v>910.9000000000001</v>
      </c>
      <c r="AC20" s="175">
        <v>5.5</v>
      </c>
      <c r="AD20" s="176">
        <v>5009.950000000001</v>
      </c>
    </row>
    <row r="21" spans="1:30" x14ac:dyDescent="0.25">
      <c r="A21" s="173">
        <v>2000041</v>
      </c>
      <c r="B21" s="174" t="s">
        <v>366</v>
      </c>
      <c r="C21" s="177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>
        <f t="shared" si="0"/>
        <v>0</v>
      </c>
      <c r="AC21" s="175">
        <v>5.5</v>
      </c>
      <c r="AD21" s="176">
        <f t="shared" si="1"/>
        <v>0</v>
      </c>
    </row>
    <row r="22" spans="1:30" x14ac:dyDescent="0.25">
      <c r="A22" s="173">
        <v>2000060</v>
      </c>
      <c r="B22" s="174" t="s">
        <v>367</v>
      </c>
      <c r="C22" s="177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>
        <v>874.78</v>
      </c>
      <c r="AC22" s="175">
        <v>5.5</v>
      </c>
      <c r="AD22" s="176">
        <v>4811.29</v>
      </c>
    </row>
    <row r="23" spans="1:30" x14ac:dyDescent="0.25">
      <c r="A23" s="173">
        <v>2000090</v>
      </c>
      <c r="B23" s="174" t="s">
        <v>368</v>
      </c>
      <c r="C23" s="177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>
        <v>2696.92</v>
      </c>
      <c r="AC23" s="175">
        <v>5.5</v>
      </c>
      <c r="AD23" s="176">
        <v>14833.060000000001</v>
      </c>
    </row>
    <row r="24" spans="1:30" x14ac:dyDescent="0.25">
      <c r="A24" s="173">
        <v>2000091</v>
      </c>
      <c r="B24" s="174" t="s">
        <v>234</v>
      </c>
      <c r="C24" s="177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>
        <v>12339.509999999998</v>
      </c>
      <c r="AC24" s="175">
        <v>5.5</v>
      </c>
      <c r="AD24" s="176">
        <v>67867.305</v>
      </c>
    </row>
    <row r="25" spans="1:30" x14ac:dyDescent="0.25">
      <c r="A25" s="173">
        <v>2000123</v>
      </c>
      <c r="B25" s="174" t="s">
        <v>85</v>
      </c>
      <c r="C25" s="177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>
        <v>11934.220000000001</v>
      </c>
      <c r="AC25" s="175">
        <v>5.5</v>
      </c>
      <c r="AD25" s="176">
        <v>65638.21</v>
      </c>
    </row>
    <row r="26" hidden="1" spans="1:30" x14ac:dyDescent="0.25">
      <c r="A26" s="173">
        <v>2000141</v>
      </c>
      <c r="B26" s="174" t="s">
        <v>369</v>
      </c>
      <c r="C26" s="177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>
        <f t="shared" si="0"/>
        <v>0</v>
      </c>
      <c r="AC26" s="175">
        <v>4.5</v>
      </c>
      <c r="AD26" s="176">
        <f t="shared" si="1"/>
        <v>0</v>
      </c>
    </row>
    <row r="27" hidden="1" spans="1:30" x14ac:dyDescent="0.25">
      <c r="A27" s="173">
        <v>2000117</v>
      </c>
      <c r="B27" s="174" t="s">
        <v>370</v>
      </c>
      <c r="C27" s="177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>
        <f t="shared" si="0"/>
        <v>0</v>
      </c>
      <c r="AC27" s="175">
        <v>5.5</v>
      </c>
      <c r="AD27" s="176">
        <f t="shared" si="1"/>
        <v>0</v>
      </c>
    </row>
    <row r="28" spans="1:30" x14ac:dyDescent="0.25">
      <c r="A28" s="173">
        <v>2000217</v>
      </c>
      <c r="B28" s="174" t="s">
        <v>371</v>
      </c>
      <c r="C28" s="177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>
        <v>10178.4</v>
      </c>
      <c r="AC28" s="175">
        <v>5.5</v>
      </c>
      <c r="AD28" s="176">
        <v>55981.2</v>
      </c>
    </row>
    <row r="29" hidden="1" spans="1:30" x14ac:dyDescent="0.25">
      <c r="A29" s="173">
        <v>2000516</v>
      </c>
      <c r="B29" s="174" t="s">
        <v>372</v>
      </c>
      <c r="C29" s="177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>
        <f t="shared" si="0"/>
        <v>0</v>
      </c>
      <c r="AC29" s="175">
        <v>14</v>
      </c>
      <c r="AD29" s="176">
        <f t="shared" si="1"/>
        <v>0</v>
      </c>
    </row>
    <row r="30" spans="1:30" x14ac:dyDescent="0.25">
      <c r="A30" s="173">
        <v>2000531</v>
      </c>
      <c r="B30" s="174" t="s">
        <v>373</v>
      </c>
      <c r="C30" s="177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>
        <v>15.13</v>
      </c>
      <c r="AC30" s="175">
        <v>7.4</v>
      </c>
      <c r="AD30" s="176">
        <v>111.96200000000002</v>
      </c>
    </row>
    <row r="31" spans="1:30" x14ac:dyDescent="0.25">
      <c r="A31" s="173">
        <v>2000590</v>
      </c>
      <c r="B31" s="174" t="s">
        <v>374</v>
      </c>
      <c r="C31" s="177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>
        <v>28928.28</v>
      </c>
      <c r="AC31" s="175">
        <v>5.5</v>
      </c>
      <c r="AD31" s="176">
        <v>159105.53999999998</v>
      </c>
    </row>
    <row r="32" spans="1:30" x14ac:dyDescent="0.25">
      <c r="A32" s="173">
        <v>2000593</v>
      </c>
      <c r="B32" s="174" t="s">
        <v>375</v>
      </c>
      <c r="C32" s="177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>
        <f t="shared" ref="AB32:AB58" si="2">SUM(C32:AA32)</f>
        <v>1992.87</v>
      </c>
      <c r="AC32" s="175">
        <v>4.5</v>
      </c>
      <c r="AD32" s="176">
        <v>8967.914999999999</v>
      </c>
    </row>
    <row r="33" spans="1:30" x14ac:dyDescent="0.25">
      <c r="A33" s="173">
        <v>2000929</v>
      </c>
      <c r="B33" s="174" t="s">
        <v>376</v>
      </c>
      <c r="C33" s="177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>
        <v>4850.69</v>
      </c>
      <c r="AC33" s="175">
        <v>5.5</v>
      </c>
      <c r="AD33" s="176">
        <v>26678.795</v>
      </c>
    </row>
    <row r="34" spans="1:30" x14ac:dyDescent="0.25">
      <c r="A34" s="173">
        <v>4001002</v>
      </c>
      <c r="B34" s="174" t="s">
        <v>377</v>
      </c>
      <c r="C34" s="177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>
        <v>445.5</v>
      </c>
      <c r="AC34" s="175"/>
      <c r="AD34" s="176">
        <f t="shared" si="1"/>
        <v>0</v>
      </c>
    </row>
    <row r="35" spans="1:30" x14ac:dyDescent="0.25">
      <c r="A35" s="173">
        <v>981006</v>
      </c>
      <c r="B35" s="174" t="s">
        <v>378</v>
      </c>
      <c r="C35" s="177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175"/>
      <c r="AD35" s="176"/>
    </row>
    <row r="36" spans="1:30" x14ac:dyDescent="0.25">
      <c r="A36" s="173">
        <v>981012</v>
      </c>
      <c r="B36" s="174" t="s">
        <v>379</v>
      </c>
      <c r="C36" s="177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>
        <v>138.69</v>
      </c>
      <c r="AC36" s="175">
        <v>6.5</v>
      </c>
      <c r="AD36" s="176">
        <v>901.485</v>
      </c>
    </row>
    <row r="37" spans="1:30" x14ac:dyDescent="0.25">
      <c r="A37" s="173">
        <v>981027</v>
      </c>
      <c r="B37" s="174" t="s">
        <v>380</v>
      </c>
      <c r="C37" s="177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>
        <v>5933.49</v>
      </c>
      <c r="AC37" s="175">
        <v>5.5</v>
      </c>
      <c r="AD37" s="176">
        <v>32634.195</v>
      </c>
    </row>
    <row r="38" spans="1:30" x14ac:dyDescent="0.25">
      <c r="A38" s="173">
        <v>981031</v>
      </c>
      <c r="B38" s="174" t="s">
        <v>381</v>
      </c>
      <c r="C38" s="177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>
        <f t="shared" si="2"/>
        <v>0</v>
      </c>
      <c r="AC38" s="175">
        <v>7.4</v>
      </c>
      <c r="AD38" s="176">
        <f t="shared" si="1"/>
        <v>0</v>
      </c>
    </row>
    <row r="39" spans="1:30" x14ac:dyDescent="0.25">
      <c r="A39" s="173">
        <v>981035</v>
      </c>
      <c r="B39" s="174" t="s">
        <v>382</v>
      </c>
      <c r="C39" s="177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>
        <v>6857.32</v>
      </c>
      <c r="AC39" s="175">
        <v>5.5</v>
      </c>
      <c r="AD39" s="176">
        <v>37715.259999999995</v>
      </c>
    </row>
    <row r="40" spans="1:30" x14ac:dyDescent="0.25">
      <c r="A40" s="173">
        <v>981091</v>
      </c>
      <c r="B40" s="174" t="s">
        <v>383</v>
      </c>
      <c r="C40" s="177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>
        <f t="shared" si="2"/>
        <v>0</v>
      </c>
      <c r="AC40" s="175">
        <v>5.5</v>
      </c>
      <c r="AD40" s="176">
        <f t="shared" si="1"/>
        <v>0</v>
      </c>
    </row>
    <row r="41" spans="1:30" x14ac:dyDescent="0.25">
      <c r="A41" s="173">
        <v>981123</v>
      </c>
      <c r="B41" s="174" t="s">
        <v>384</v>
      </c>
      <c r="C41" s="177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>
        <v>151.04999999999998</v>
      </c>
      <c r="AC41" s="175">
        <v>5.5</v>
      </c>
      <c r="AD41" s="176">
        <v>830.7749999999999</v>
      </c>
    </row>
    <row r="42" spans="1:30" x14ac:dyDescent="0.25">
      <c r="A42" s="173">
        <v>981132</v>
      </c>
      <c r="B42" s="174" t="s">
        <v>385</v>
      </c>
      <c r="C42" s="177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>
        <v>314.09</v>
      </c>
      <c r="AC42" s="175">
        <v>5.5</v>
      </c>
      <c r="AD42" s="176">
        <v>1727.495</v>
      </c>
    </row>
    <row r="43" spans="1:30" x14ac:dyDescent="0.25">
      <c r="A43" s="173">
        <v>981217</v>
      </c>
      <c r="B43" s="174" t="s">
        <v>386</v>
      </c>
      <c r="C43" s="177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>
        <v>474.1</v>
      </c>
      <c r="AC43" s="175">
        <v>5.5</v>
      </c>
      <c r="AD43" s="176">
        <v>2607.55</v>
      </c>
    </row>
    <row r="44" spans="1:30" x14ac:dyDescent="0.25">
      <c r="A44" s="173">
        <v>981593</v>
      </c>
      <c r="B44" s="174" t="s">
        <v>387</v>
      </c>
      <c r="C44" s="177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>
        <v>218.35</v>
      </c>
      <c r="AC44" s="175">
        <v>4.5</v>
      </c>
      <c r="AD44" s="176">
        <v>982.5749999999999</v>
      </c>
    </row>
    <row r="45" spans="1:30" x14ac:dyDescent="0.25">
      <c r="A45" s="173">
        <v>981929</v>
      </c>
      <c r="B45" s="174" t="s">
        <v>388</v>
      </c>
      <c r="C45" s="177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>
        <v>230.73</v>
      </c>
      <c r="AC45" s="175">
        <v>5.5</v>
      </c>
      <c r="AD45" s="176">
        <v>1269.0149999999999</v>
      </c>
    </row>
    <row r="46" spans="1:30" x14ac:dyDescent="0.25">
      <c r="A46" s="173">
        <v>22381810</v>
      </c>
      <c r="B46" s="174" t="s">
        <v>389</v>
      </c>
      <c r="C46" s="177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>
        <f t="shared" si="2"/>
        <v>0</v>
      </c>
      <c r="AC46" s="178">
        <v>7.1</v>
      </c>
      <c r="AD46" s="176">
        <f t="shared" si="1"/>
        <v>0</v>
      </c>
    </row>
    <row r="47" spans="1:30" x14ac:dyDescent="0.25">
      <c r="A47" s="173">
        <v>22409810</v>
      </c>
      <c r="B47" s="174" t="s">
        <v>390</v>
      </c>
      <c r="C47" s="177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>
        <v>68.51</v>
      </c>
      <c r="AC47" s="178">
        <v>7</v>
      </c>
      <c r="AD47" s="176">
        <v>479.57000000000005</v>
      </c>
    </row>
    <row r="48" spans="1:30" x14ac:dyDescent="0.25">
      <c r="A48" s="173">
        <v>22449820</v>
      </c>
      <c r="B48" s="174" t="s">
        <v>391</v>
      </c>
      <c r="C48" s="177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>
        <f t="shared" si="2"/>
        <v>0</v>
      </c>
      <c r="AC48" s="175">
        <v>6.9</v>
      </c>
      <c r="AD48" s="176">
        <f t="shared" si="1"/>
        <v>0</v>
      </c>
    </row>
    <row r="49" spans="1:30" x14ac:dyDescent="0.25">
      <c r="A49" s="173">
        <v>22449800</v>
      </c>
      <c r="B49" s="174" t="s">
        <v>392</v>
      </c>
      <c r="C49" s="177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>
        <f t="shared" si="2"/>
        <v>0</v>
      </c>
      <c r="AC49" s="178">
        <v>6.9</v>
      </c>
      <c r="AD49" s="176">
        <f t="shared" si="1"/>
        <v>0</v>
      </c>
    </row>
    <row r="50" spans="1:30" x14ac:dyDescent="0.25">
      <c r="A50" s="173">
        <v>22609810</v>
      </c>
      <c r="B50" s="174" t="s">
        <v>85</v>
      </c>
      <c r="C50" s="177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>
        <v>2780.35</v>
      </c>
      <c r="AC50" s="178">
        <v>5.5</v>
      </c>
      <c r="AD50" s="176">
        <v>15291.925</v>
      </c>
    </row>
    <row r="51" spans="1:30" x14ac:dyDescent="0.25">
      <c r="A51" s="173">
        <v>23779810</v>
      </c>
      <c r="B51" s="174" t="s">
        <v>371</v>
      </c>
      <c r="C51" s="177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>
        <v>16687.68</v>
      </c>
      <c r="AC51" s="178">
        <v>5.5</v>
      </c>
      <c r="AD51" s="176">
        <v>91782.24</v>
      </c>
    </row>
    <row r="52" spans="1:30" x14ac:dyDescent="0.25">
      <c r="A52" s="173">
        <v>25199830</v>
      </c>
      <c r="B52" s="174" t="s">
        <v>393</v>
      </c>
      <c r="C52" s="177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>
        <v>4681.07</v>
      </c>
      <c r="AC52" s="175">
        <v>3</v>
      </c>
      <c r="AD52" s="176">
        <v>14043.21</v>
      </c>
    </row>
    <row r="53" hidden="1" spans="1:30" x14ac:dyDescent="0.25">
      <c r="A53" s="173">
        <v>998009</v>
      </c>
      <c r="B53" s="174" t="s">
        <v>394</v>
      </c>
      <c r="C53" s="177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>
        <f t="shared" si="2"/>
        <v>0</v>
      </c>
      <c r="AC53" s="175">
        <v>6.1</v>
      </c>
      <c r="AD53" s="176">
        <f t="shared" si="1"/>
        <v>0</v>
      </c>
    </row>
    <row r="54" spans="1:30" x14ac:dyDescent="0.25">
      <c r="A54" s="173">
        <v>26559820</v>
      </c>
      <c r="B54" s="174" t="s">
        <v>125</v>
      </c>
      <c r="C54" s="177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>
        <v>51753.149999999994</v>
      </c>
      <c r="AC54" s="175">
        <v>6.5</v>
      </c>
      <c r="AD54" s="176">
        <v>336395.475</v>
      </c>
    </row>
    <row r="55" spans="1:30" x14ac:dyDescent="0.25">
      <c r="A55" s="173"/>
      <c r="B55" s="174" t="s">
        <v>395</v>
      </c>
      <c r="C55" s="177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>
        <v>609.36</v>
      </c>
      <c r="AC55" s="178">
        <v>6.5</v>
      </c>
      <c r="AD55" s="176">
        <v>3960.84</v>
      </c>
    </row>
    <row r="56" spans="1:30" x14ac:dyDescent="0.25">
      <c r="A56" s="173">
        <v>998023</v>
      </c>
      <c r="B56" s="174" t="s">
        <v>396</v>
      </c>
      <c r="C56" s="177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>
        <v>140.1</v>
      </c>
      <c r="AC56" s="178">
        <v>6.5</v>
      </c>
      <c r="AD56" s="176">
        <v>910.65</v>
      </c>
    </row>
    <row r="57" spans="1:30" x14ac:dyDescent="0.25">
      <c r="A57" s="173">
        <v>998027</v>
      </c>
      <c r="B57" s="174" t="s">
        <v>397</v>
      </c>
      <c r="C57" s="177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>
        <v>300.14</v>
      </c>
      <c r="AC57" s="175">
        <v>6.5</v>
      </c>
      <c r="AD57" s="176">
        <v>1950.9099999999999</v>
      </c>
    </row>
    <row r="58" hidden="1" spans="1:30" x14ac:dyDescent="0.25">
      <c r="A58" s="173">
        <v>998026</v>
      </c>
      <c r="B58" s="174" t="s">
        <v>398</v>
      </c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9">
        <f t="shared" si="2"/>
        <v>0</v>
      </c>
      <c r="AC58" s="175">
        <v>6.01</v>
      </c>
      <c r="AD58" s="176">
        <f t="shared" si="1"/>
        <v>0</v>
      </c>
    </row>
    <row r="59" spans="1:30" x14ac:dyDescent="0.25">
      <c r="A59" s="180"/>
      <c r="B59" s="180" t="s">
        <v>5</v>
      </c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>
        <v>201827.60000000003</v>
      </c>
      <c r="AC59" s="181"/>
      <c r="AD59" s="181">
        <f>SUM(AD4:AD58)</f>
        <v>1172456.3042657583</v>
      </c>
    </row>
    <row r="60" spans="3:27" x14ac:dyDescent="0.25"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 spans="1:30" x14ac:dyDescent="0.25">
      <c r="A61" s="97"/>
      <c r="B61" s="97" t="s">
        <v>298</v>
      </c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00" t="s">
        <v>3</v>
      </c>
      <c r="AC61" s="100" t="s">
        <v>4</v>
      </c>
      <c r="AD61" s="100" t="s">
        <v>5</v>
      </c>
    </row>
    <row r="62" spans="1:30" x14ac:dyDescent="0.25">
      <c r="A62" s="101" t="s">
        <v>290</v>
      </c>
      <c r="B62" s="102" t="s">
        <v>291</v>
      </c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04" t="s">
        <v>8</v>
      </c>
      <c r="AC62" s="104" t="s">
        <v>9</v>
      </c>
      <c r="AD62" s="104" t="s">
        <v>9</v>
      </c>
    </row>
    <row r="63" spans="1:30" x14ac:dyDescent="0.25">
      <c r="A63" s="173"/>
      <c r="B63" s="174" t="s">
        <v>399</v>
      </c>
      <c r="C63" s="179"/>
      <c r="D63" s="29"/>
      <c r="E63" s="29"/>
      <c r="F63" s="29"/>
      <c r="G63" s="29"/>
      <c r="H63" s="29"/>
      <c r="I63" s="29"/>
      <c r="J63" s="29"/>
      <c r="K63" s="29"/>
      <c r="L63" s="2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6">
        <f>SUM(C63:AA63)</f>
        <v>56.919999999999995</v>
      </c>
      <c r="AC63" s="175"/>
      <c r="AD63" s="176">
        <f>AB63*AC63</f>
        <v>0</v>
      </c>
    </row>
    <row r="64" spans="1:30" x14ac:dyDescent="0.25">
      <c r="A64" s="173"/>
      <c r="B64" s="174" t="s">
        <v>400</v>
      </c>
      <c r="C64" s="179"/>
      <c r="D64" s="29"/>
      <c r="E64" s="29"/>
      <c r="F64" s="29"/>
      <c r="G64" s="29"/>
      <c r="H64" s="29"/>
      <c r="I64" s="29"/>
      <c r="J64" s="29"/>
      <c r="K64" s="29"/>
      <c r="L64" s="2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6">
        <f>SUM(C64:AA64)</f>
        <v>422.3</v>
      </c>
      <c r="AC64" s="175">
        <v>0.4</v>
      </c>
      <c r="AD64" s="176">
        <f>AB64*AC64</f>
        <v>168.92000000000002</v>
      </c>
    </row>
    <row r="65" spans="1:30" x14ac:dyDescent="0.25">
      <c r="A65" s="173">
        <v>2000090</v>
      </c>
      <c r="B65" s="174" t="s">
        <v>368</v>
      </c>
      <c r="C65" s="179"/>
      <c r="D65" s="29"/>
      <c r="E65" s="29"/>
      <c r="F65" s="29"/>
      <c r="G65" s="29"/>
      <c r="H65" s="29"/>
      <c r="I65" s="29"/>
      <c r="J65" s="29"/>
      <c r="K65" s="29"/>
      <c r="L65" s="2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6">
        <f>SUM(C65:AA65)</f>
        <v>2449.8</v>
      </c>
      <c r="AC65" s="175">
        <v>6.5</v>
      </c>
      <c r="AD65" s="176">
        <f>AB65*AC65</f>
        <v>15923.7</v>
      </c>
    </row>
    <row r="66" spans="1:32" x14ac:dyDescent="0.25">
      <c r="A66" s="173">
        <v>981001</v>
      </c>
      <c r="B66" s="174" t="s">
        <v>401</v>
      </c>
      <c r="C66" s="179"/>
      <c r="D66" s="29"/>
      <c r="E66" s="29"/>
      <c r="F66" s="29"/>
      <c r="G66" s="29"/>
      <c r="H66" s="29"/>
      <c r="I66" s="29"/>
      <c r="J66" s="29"/>
      <c r="K66" s="29"/>
      <c r="L66" s="2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6">
        <f>SUM(C66:AA66)</f>
        <v>32530.87</v>
      </c>
      <c r="AC66" s="175">
        <v>5.248</v>
      </c>
      <c r="AD66" s="176">
        <f>AB66*AC66</f>
        <v>170722.00576</v>
      </c>
      <c r="AE66" s="115">
        <f>AD66*0.03</f>
        <v>5121.6601728</v>
      </c>
      <c r="AF66" s="25">
        <f>-AD66*0.015</f>
        <v>-2560.8300864</v>
      </c>
    </row>
    <row r="67" spans="1:32" x14ac:dyDescent="0.25">
      <c r="A67" s="173">
        <v>981002</v>
      </c>
      <c r="B67" s="174" t="s">
        <v>402</v>
      </c>
      <c r="C67" s="179"/>
      <c r="D67" s="29"/>
      <c r="E67" s="29"/>
      <c r="F67" s="29"/>
      <c r="G67" s="29"/>
      <c r="H67" s="29"/>
      <c r="I67" s="29"/>
      <c r="J67" s="29"/>
      <c r="K67" s="29"/>
      <c r="L67" s="2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6">
        <f>SUM(C67:AA67)</f>
        <v>227898.68000000002</v>
      </c>
      <c r="AC67" s="175">
        <v>7.34</v>
      </c>
      <c r="AD67" s="176">
        <f>AB67*AC67</f>
        <v>1672776.3112</v>
      </c>
      <c r="AE67" s="115">
        <f>AD67*0.03</f>
        <v>50183.289336</v>
      </c>
      <c r="AF67" s="25">
        <f>-AD67*0.015</f>
        <v>-25091.644668</v>
      </c>
    </row>
    <row r="68" spans="1:32" x14ac:dyDescent="0.25">
      <c r="A68" s="180"/>
      <c r="B68" s="180" t="s">
        <v>5</v>
      </c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>
        <v>263358.57</v>
      </c>
      <c r="AD68" s="181">
        <f>SUM(AD63:AD67)</f>
        <v>1859590.93696</v>
      </c>
      <c r="AE68" s="181">
        <f>SUM(AE66:AE67)</f>
        <v>55304.949508800004</v>
      </c>
      <c r="AF68" s="25">
        <f>SUM(AF66:AF67)</f>
        <v>-27652.474754400002</v>
      </c>
    </row>
    <row r="69" spans="1:28" x14ac:dyDescent="0.25">
      <c r="A69" s="2"/>
      <c r="B69" s="79" t="s">
        <v>275</v>
      </c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>
        <f>(AB68/AB59)-1</f>
        <v>0.3048689574666694</v>
      </c>
    </row>
    <row r="70" spans="1:28" x14ac:dyDescent="0.25">
      <c r="A70" s="2"/>
      <c r="B70" s="174" t="s">
        <v>403</v>
      </c>
      <c r="C70" s="18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176">
        <f>SUM(C70:AA70)</f>
        <v>108</v>
      </c>
    </row>
    <row r="71" spans="1:28" x14ac:dyDescent="0.25">
      <c r="A71" s="2"/>
      <c r="B71" s="1" t="s">
        <v>404</v>
      </c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176">
        <f>SUM(C71:AA71)</f>
        <v>696</v>
      </c>
    </row>
    <row r="72" spans="1:30" x14ac:dyDescent="0.25">
      <c r="A72" s="2"/>
      <c r="B72" s="180" t="s">
        <v>405</v>
      </c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 t="s">
        <v>278</v>
      </c>
      <c r="AC72" s="185" t="s">
        <v>347</v>
      </c>
      <c r="AD72" s="185" t="s">
        <v>406</v>
      </c>
    </row>
    <row r="73" spans="1:30" x14ac:dyDescent="0.25">
      <c r="A73" s="2"/>
      <c r="B73" s="1" t="s">
        <v>407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176">
        <f>SUM(C73:AA73)</f>
        <v>3400</v>
      </c>
      <c r="AC73" s="186">
        <f>'mano de obra'!J17</f>
        <v>10.310029644268775</v>
      </c>
      <c r="AD73" s="176">
        <f>AB73*AC73</f>
        <v>35054.10079051384</v>
      </c>
    </row>
    <row r="74" spans="1:30" x14ac:dyDescent="0.25">
      <c r="A74" s="2"/>
      <c r="B74" s="1" t="s">
        <v>408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176">
        <f>SUM(C74:AA74)</f>
        <v>800</v>
      </c>
      <c r="AC74" s="186">
        <f>+'mano de obra'!J14</f>
        <v>8.620268322628458</v>
      </c>
      <c r="AD74" s="176">
        <f>AB74*AC74</f>
        <v>6896.214658102766</v>
      </c>
    </row>
    <row r="75" spans="1:30" x14ac:dyDescent="0.25">
      <c r="A75" s="2"/>
      <c r="B75" s="1" t="s">
        <v>409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176">
        <f>SUM(C75:AA75)</f>
        <v>1800</v>
      </c>
      <c r="AC75" s="186">
        <f>+AC73</f>
        <v>10.310029644268775</v>
      </c>
      <c r="AD75" s="176">
        <f>AB75*AC75</f>
        <v>18558.053359683796</v>
      </c>
    </row>
    <row r="76" spans="1:30" x14ac:dyDescent="0.25">
      <c r="A76" s="2"/>
      <c r="B76" s="1" t="s">
        <v>410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176">
        <f>SUM(C76:AA76)</f>
        <v>200</v>
      </c>
      <c r="AC76" s="186">
        <f>+AC74</f>
        <v>8.620268322628458</v>
      </c>
      <c r="AD76" s="176">
        <f>AB76*AC76</f>
        <v>1724.0536645256916</v>
      </c>
    </row>
    <row r="77" spans="1:30" x14ac:dyDescent="0.25">
      <c r="A77" s="180"/>
      <c r="B77" s="180" t="s">
        <v>353</v>
      </c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8">
        <v>6200</v>
      </c>
      <c r="AC77" s="188"/>
      <c r="AD77" s="188">
        <f>SUM(AD73:AD76)</f>
        <v>62232.42247282609</v>
      </c>
    </row>
    <row r="78" spans="1:30" x14ac:dyDescent="0.25">
      <c r="A78" s="189"/>
      <c r="B78" s="190" t="s">
        <v>411</v>
      </c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2"/>
      <c r="AC78" s="192"/>
      <c r="AD78" s="192"/>
    </row>
    <row r="79" spans="1:30" x14ac:dyDescent="0.25">
      <c r="A79" s="2" t="s">
        <v>412</v>
      </c>
      <c r="B79" s="1" t="s">
        <v>413</v>
      </c>
      <c r="C79" s="2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76">
        <f>SUM(C79:AA79)</f>
        <v>12108.960000000003</v>
      </c>
      <c r="AC79" s="194"/>
      <c r="AD79" s="194"/>
    </row>
    <row r="80" spans="1:30" x14ac:dyDescent="0.25">
      <c r="A80" s="2" t="s">
        <v>412</v>
      </c>
      <c r="B80" s="1" t="s">
        <v>414</v>
      </c>
      <c r="C80" s="2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76">
        <f>SUM(C80:AA80)</f>
        <v>857.52</v>
      </c>
      <c r="AC80" s="194"/>
      <c r="AD80" s="194"/>
    </row>
    <row r="81" spans="1:28" x14ac:dyDescent="0.25">
      <c r="A81" s="2"/>
      <c r="B81" s="1" t="s">
        <v>413</v>
      </c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>
        <f>SUM(C81:AA81)</f>
        <v>41934</v>
      </c>
    </row>
    <row r="82" spans="1:28" x14ac:dyDescent="0.25">
      <c r="A82" s="2"/>
      <c r="B82" s="1" t="s">
        <v>414</v>
      </c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76">
        <f>SUM(C82:AA82)</f>
        <v>4698</v>
      </c>
    </row>
    <row r="83" spans="1:27" x14ac:dyDescent="0.25">
      <c r="A83" s="196"/>
      <c r="B83" s="197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</row>
    <row r="84" spans="1:27" x14ac:dyDescent="0.25">
      <c r="A84" s="101" t="s">
        <v>290</v>
      </c>
      <c r="B84" s="102" t="s">
        <v>415</v>
      </c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</row>
    <row r="85" spans="1:28" x14ac:dyDescent="0.25">
      <c r="A85" s="173">
        <v>980001</v>
      </c>
      <c r="B85" s="174" t="s">
        <v>416</v>
      </c>
      <c r="C85" s="179"/>
      <c r="D85" s="29"/>
      <c r="E85" s="29"/>
      <c r="F85" s="29"/>
      <c r="G85" s="29"/>
      <c r="H85" s="29"/>
      <c r="I85" s="29"/>
      <c r="J85" s="29"/>
      <c r="K85" s="29"/>
      <c r="L85" s="2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6">
        <f t="shared" ref="AB85:AB88" si="3">SUM(C85:AA85)</f>
        <v>69695.56000000001</v>
      </c>
    </row>
    <row r="86" spans="1:28" x14ac:dyDescent="0.25">
      <c r="A86" s="173">
        <v>980002</v>
      </c>
      <c r="B86" s="174" t="s">
        <v>417</v>
      </c>
      <c r="C86" s="179"/>
      <c r="D86" s="29"/>
      <c r="E86" s="29"/>
      <c r="F86" s="29"/>
      <c r="G86" s="29"/>
      <c r="H86" s="29"/>
      <c r="I86" s="29"/>
      <c r="J86" s="29"/>
      <c r="K86" s="29"/>
      <c r="L86" s="2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6">
        <v>781.95</v>
      </c>
    </row>
    <row r="87" spans="1:28" x14ac:dyDescent="0.25">
      <c r="A87" s="173">
        <v>981001</v>
      </c>
      <c r="B87" s="174" t="s">
        <v>401</v>
      </c>
      <c r="C87" s="179"/>
      <c r="D87" s="29"/>
      <c r="E87" s="29"/>
      <c r="F87" s="29"/>
      <c r="G87" s="29"/>
      <c r="H87" s="29"/>
      <c r="I87" s="29"/>
      <c r="J87" s="29"/>
      <c r="K87" s="29"/>
      <c r="L87" s="2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6">
        <v>25849.35</v>
      </c>
    </row>
    <row r="88" spans="1:28" x14ac:dyDescent="0.25">
      <c r="A88" s="173">
        <v>981002</v>
      </c>
      <c r="B88" s="174" t="s">
        <v>418</v>
      </c>
      <c r="C88" s="179"/>
      <c r="D88" s="29"/>
      <c r="E88" s="29"/>
      <c r="F88" s="29"/>
      <c r="G88" s="29"/>
      <c r="H88" s="29"/>
      <c r="I88" s="29"/>
      <c r="J88" s="29"/>
      <c r="K88" s="29"/>
      <c r="L88" s="2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6">
        <v>186000.14</v>
      </c>
    </row>
    <row r="89" spans="1:28" x14ac:dyDescent="0.25">
      <c r="A89" s="180"/>
      <c r="B89" s="180" t="s">
        <v>5</v>
      </c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>
        <v>282327</v>
      </c>
    </row>
    <row r="90" spans="1:28" x14ac:dyDescent="0.25">
      <c r="A90" s="173">
        <v>980002</v>
      </c>
      <c r="B90" s="174" t="s">
        <v>419</v>
      </c>
      <c r="C90" s="17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6">
        <f t="shared" ref="AB90:AB95" si="4">SUM(C90:AA90)</f>
        <v>833.55</v>
      </c>
    </row>
    <row r="91" spans="1:28" x14ac:dyDescent="0.25">
      <c r="A91" s="173">
        <v>980001</v>
      </c>
      <c r="B91" s="174" t="s">
        <v>416</v>
      </c>
      <c r="C91" s="17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6">
        <v>28817.520000000004</v>
      </c>
    </row>
    <row r="92" spans="1:28" x14ac:dyDescent="0.25">
      <c r="A92" s="173">
        <v>4000004</v>
      </c>
      <c r="B92" s="174" t="s">
        <v>420</v>
      </c>
      <c r="C92" s="17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6">
        <v>19934</v>
      </c>
    </row>
    <row r="93" spans="1:28" x14ac:dyDescent="0.25">
      <c r="A93" s="173">
        <v>4001002</v>
      </c>
      <c r="B93" s="174" t="s">
        <v>377</v>
      </c>
      <c r="C93" s="17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6">
        <v>938.1700000000001</v>
      </c>
    </row>
    <row r="94" spans="1:28" x14ac:dyDescent="0.25">
      <c r="A94" s="173">
        <v>6298014</v>
      </c>
      <c r="B94" s="174" t="s">
        <v>421</v>
      </c>
      <c r="C94" s="17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6">
        <v>64346.26999999999</v>
      </c>
    </row>
    <row r="95" spans="1:28" x14ac:dyDescent="0.25">
      <c r="A95" s="173">
        <v>4000014</v>
      </c>
      <c r="B95" s="174" t="s">
        <v>422</v>
      </c>
      <c r="C95" s="17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6">
        <v>166438.5</v>
      </c>
    </row>
    <row r="96" spans="1:28" x14ac:dyDescent="0.25">
      <c r="A96" s="180"/>
      <c r="B96" s="180" t="s">
        <v>5</v>
      </c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>
        <v>281308.01</v>
      </c>
    </row>
    <row r="97" spans="1:27" x14ac:dyDescent="0.25">
      <c r="A97" s="2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</row>
    <row r="98" spans="1:27" x14ac:dyDescent="0.25">
      <c r="A98" s="2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</row>
    <row r="99" spans="1:27" x14ac:dyDescent="0.25">
      <c r="A99" s="2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</row>
    <row r="100" spans="1:27" x14ac:dyDescent="0.25">
      <c r="A100" s="2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</row>
    <row r="101" spans="1:27" x14ac:dyDescent="0.25">
      <c r="A101" s="2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</row>
    <row r="102" spans="1:27" x14ac:dyDescent="0.25">
      <c r="A102" s="2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</row>
    <row r="103" spans="1:27" x14ac:dyDescent="0.25">
      <c r="A103" s="2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</row>
    <row r="104" spans="1:27" x14ac:dyDescent="0.25">
      <c r="A104" s="2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</row>
    <row r="105" spans="3:27" x14ac:dyDescent="0.25"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</row>
    <row r="106" spans="3:27" x14ac:dyDescent="0.25"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</row>
    <row r="107" spans="3:27" x14ac:dyDescent="0.25"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</row>
    <row r="108" spans="3:27" x14ac:dyDescent="0.25"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</row>
    <row r="109" spans="3:27" x14ac:dyDescent="0.25"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</row>
    <row r="110" spans="3:27" x14ac:dyDescent="0.25"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</row>
    <row r="111" spans="3:27" x14ac:dyDescent="0.25"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</row>
    <row r="112" spans="2:27" x14ac:dyDescent="0.25">
      <c r="B112" s="1" t="s">
        <v>423</v>
      </c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</row>
  </sheetData>
  <pageMargins left="0.25" right="0.25" top="0.75" bottom="0.75" header="0.3" footer="0.3"/>
  <pageSetup paperSize="9" orientation="portrait" horizontalDpi="4294967295" verticalDpi="4294967295" scale="57" fitToWidth="0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"/>
  <sheetViews>
    <sheetView workbookViewId="0" zoomScale="100" zoomScaleNormal="100">
      <selection activeCell="E7" sqref="E7"/>
    </sheetView>
  </sheetViews>
  <sheetFormatPr defaultRowHeight="12" outlineLevelRow="0" outlineLevelCol="0" x14ac:dyDescent="0.2" defaultColWidth="11.42578125" customHeight="1"/>
  <cols>
    <col min="1" max="1" width="11.42578125" style="1" customWidth="1"/>
    <col min="2" max="2" width="27.28515625" style="1" customWidth="1"/>
    <col min="3" max="3" width="9.42578125" style="1" customWidth="1"/>
    <col min="4" max="4" width="12.42578125" style="1" customWidth="1"/>
    <col min="5" max="5" width="21.42578125" style="1" customWidth="1"/>
    <col min="6" max="6" width="8.42578125" style="1" customWidth="1"/>
    <col min="7" max="7" width="26.28515625" style="1" customWidth="1"/>
    <col min="8" max="8" width="15.140625" style="1" customWidth="1"/>
    <col min="9" max="16384" width="11.42578125" style="1" customWidth="1"/>
  </cols>
  <sheetData>
    <row r="2" spans="8:9" x14ac:dyDescent="0.25">
      <c r="H2" s="4" t="s">
        <v>424</v>
      </c>
      <c r="I2" s="4">
        <v>40.48</v>
      </c>
    </row>
    <row r="4" spans="2:10" x14ac:dyDescent="0.25">
      <c r="B4" s="199"/>
      <c r="C4" s="200"/>
      <c r="D4" s="200"/>
      <c r="E4" s="201">
        <v>46235</v>
      </c>
      <c r="F4" s="200"/>
      <c r="G4" s="200"/>
      <c r="H4" s="200"/>
      <c r="I4" s="202"/>
      <c r="J4" s="202"/>
    </row>
    <row r="5" spans="2:10" x14ac:dyDescent="0.25">
      <c r="B5" s="203"/>
      <c r="C5" s="204"/>
      <c r="D5" s="205"/>
      <c r="E5" s="203" t="s">
        <v>425</v>
      </c>
      <c r="F5" s="204" t="s">
        <v>426</v>
      </c>
      <c r="G5" s="204" t="s">
        <v>427</v>
      </c>
      <c r="H5" s="205" t="s">
        <v>428</v>
      </c>
      <c r="I5" s="206"/>
      <c r="J5" s="206"/>
    </row>
    <row r="6" spans="2:10" x14ac:dyDescent="0.25">
      <c r="B6" s="203" t="s">
        <v>429</v>
      </c>
      <c r="C6" s="204"/>
      <c r="D6" s="205" t="s">
        <v>430</v>
      </c>
      <c r="E6" s="203" t="s">
        <v>431</v>
      </c>
      <c r="F6" s="204"/>
      <c r="G6" s="204"/>
      <c r="H6" s="205"/>
      <c r="I6" s="206" t="s">
        <v>432</v>
      </c>
      <c r="J6" s="206"/>
    </row>
    <row r="7" spans="2:10" x14ac:dyDescent="0.25">
      <c r="B7" s="207"/>
      <c r="C7" s="208"/>
      <c r="D7" s="209">
        <v>0.53</v>
      </c>
      <c r="E7" s="210">
        <v>0.1263</v>
      </c>
      <c r="F7" s="211">
        <v>0.08546</v>
      </c>
      <c r="G7" s="211">
        <v>0.23914</v>
      </c>
      <c r="H7" s="212">
        <v>0.0125</v>
      </c>
      <c r="I7" s="213" t="s">
        <v>433</v>
      </c>
      <c r="J7" s="213" t="s">
        <v>9</v>
      </c>
    </row>
    <row r="8" spans="2:10" x14ac:dyDescent="0.25">
      <c r="B8" s="214" t="s">
        <v>434</v>
      </c>
      <c r="C8" s="215">
        <v>188.96</v>
      </c>
      <c r="D8" s="216">
        <f t="shared" ref="D8:D14" si="0">C8*$D$7+C8</f>
        <v>289.10880000000003</v>
      </c>
      <c r="E8" s="217">
        <f t="shared" ref="E8:E14" si="1">D8*$E$7</f>
        <v>36.514441440000006</v>
      </c>
      <c r="F8" s="217">
        <f t="shared" ref="F8:F14" si="2">D8*$F$7</f>
        <v>24.707238048</v>
      </c>
      <c r="G8" s="218">
        <f t="shared" ref="G8:G14" si="3">D8*$G$7</f>
        <v>69.13747843200001</v>
      </c>
      <c r="H8" s="218">
        <f t="shared" ref="H8:H14" si="4">D8*$H$7</f>
        <v>3.6138600000000007</v>
      </c>
      <c r="I8" s="219">
        <f t="shared" ref="I8:I14" si="5">SUM(D8:H8)</f>
        <v>423.08181792000005</v>
      </c>
      <c r="J8" s="219">
        <f t="shared" ref="J8:J14" si="6">I8/$I$2</f>
        <v>10.451625936758896</v>
      </c>
    </row>
    <row r="9" spans="2:10" x14ac:dyDescent="0.25">
      <c r="B9" s="214" t="s">
        <v>435</v>
      </c>
      <c r="C9" s="215">
        <v>166.2</v>
      </c>
      <c r="D9" s="216">
        <v>254.286</v>
      </c>
      <c r="E9" s="217">
        <v>32.1163218</v>
      </c>
      <c r="F9" s="217">
        <v>21.73128156</v>
      </c>
      <c r="G9" s="218">
        <v>60.80995404</v>
      </c>
      <c r="H9" s="218">
        <v>3.1785750000000004</v>
      </c>
      <c r="I9" s="219">
        <v>372.1221324</v>
      </c>
      <c r="J9" s="219">
        <v>9.192740424901187</v>
      </c>
    </row>
    <row r="10" spans="2:10" x14ac:dyDescent="0.25">
      <c r="B10" s="214" t="s">
        <v>436</v>
      </c>
      <c r="C10" s="215">
        <v>156.69</v>
      </c>
      <c r="D10" s="216">
        <v>239.7357</v>
      </c>
      <c r="E10" s="217">
        <v>30.27861891</v>
      </c>
      <c r="F10" s="217">
        <v>20.487812922</v>
      </c>
      <c r="G10" s="218">
        <v>57.330395298</v>
      </c>
      <c r="H10" s="218">
        <v>2.9966962500000003</v>
      </c>
      <c r="I10" s="219">
        <v>350.82922338</v>
      </c>
      <c r="J10" s="219">
        <v>8.666729826581028</v>
      </c>
    </row>
    <row r="11" spans="2:10" x14ac:dyDescent="0.25">
      <c r="B11" s="214" t="s">
        <v>437</v>
      </c>
      <c r="C11" s="215">
        <v>149.34</v>
      </c>
      <c r="D11" s="216">
        <v>228.49020000000002</v>
      </c>
      <c r="E11" s="217">
        <v>28.85831226</v>
      </c>
      <c r="F11" s="217">
        <v>19.526772492</v>
      </c>
      <c r="G11" s="218">
        <v>54.641146428</v>
      </c>
      <c r="H11" s="218">
        <v>2.8561275000000004</v>
      </c>
      <c r="I11" s="219">
        <v>334.37255868000005</v>
      </c>
      <c r="J11" s="219">
        <v>8.26019166699605</v>
      </c>
    </row>
    <row r="12" spans="2:10" x14ac:dyDescent="0.25">
      <c r="B12" s="214" t="s">
        <v>438</v>
      </c>
      <c r="C12" s="215">
        <v>144.64</v>
      </c>
      <c r="D12" s="216">
        <v>221.29919999999998</v>
      </c>
      <c r="E12" s="217">
        <v>27.95008896</v>
      </c>
      <c r="F12" s="217">
        <v>18.912229632</v>
      </c>
      <c r="G12" s="218">
        <v>52.92149068799999</v>
      </c>
      <c r="H12" s="218">
        <v>2.76624</v>
      </c>
      <c r="I12" s="219">
        <v>323.84924928</v>
      </c>
      <c r="J12" s="219">
        <v>8.000228490118577</v>
      </c>
    </row>
    <row r="13" spans="2:10" x14ac:dyDescent="0.25">
      <c r="B13" s="220" t="s">
        <v>439</v>
      </c>
      <c r="C13" s="221">
        <v>129.27</v>
      </c>
      <c r="D13" s="222">
        <v>197.78310000000002</v>
      </c>
      <c r="E13" s="223">
        <v>24.980005530000003</v>
      </c>
      <c r="F13" s="223">
        <v>16.902543726</v>
      </c>
      <c r="G13" s="224">
        <v>47.297850534000005</v>
      </c>
      <c r="H13" s="224">
        <v>2.4722887500000006</v>
      </c>
      <c r="I13" s="225">
        <v>289.43578854000003</v>
      </c>
      <c r="J13" s="219">
        <v>7.150093590415021</v>
      </c>
    </row>
    <row r="14" spans="2:10" x14ac:dyDescent="0.25">
      <c r="B14" s="226" t="s">
        <v>440</v>
      </c>
      <c r="C14" s="227">
        <f>AVERAGE(C8:C13)</f>
        <v>155.85</v>
      </c>
      <c r="D14" s="228">
        <v>238.45049999999998</v>
      </c>
      <c r="E14" s="228">
        <v>30.116298149999995</v>
      </c>
      <c r="F14" s="228">
        <v>20.377979729999996</v>
      </c>
      <c r="G14" s="229">
        <v>57.02305256999999</v>
      </c>
      <c r="H14" s="229">
        <v>2.98063125</v>
      </c>
      <c r="I14" s="230">
        <v>348.94846169999994</v>
      </c>
      <c r="J14" s="230">
        <v>8.620268322628458</v>
      </c>
    </row>
    <row r="16" spans="2:9" x14ac:dyDescent="0.25">
      <c r="B16" s="231"/>
      <c r="C16" s="232"/>
      <c r="D16" s="232"/>
      <c r="E16" s="232"/>
      <c r="F16" s="232"/>
      <c r="G16" s="232"/>
      <c r="H16" s="232"/>
      <c r="I16" s="233"/>
    </row>
    <row r="17" spans="2:10" x14ac:dyDescent="0.25">
      <c r="B17" s="234" t="s">
        <v>441</v>
      </c>
      <c r="C17" s="234"/>
      <c r="D17" s="235"/>
      <c r="E17" s="235" t="s">
        <v>442</v>
      </c>
      <c r="F17" s="235"/>
      <c r="G17" s="236">
        <v>417.35</v>
      </c>
      <c r="H17" s="235"/>
      <c r="I17" s="237"/>
      <c r="J17" s="230">
        <f>G17/I2</f>
        <v>10.310029644268775</v>
      </c>
    </row>
  </sheetData>
  <mergeCells count="1">
    <mergeCell ref="B17:C17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7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0.5703125"/>
  <cols>
    <col min="2" max="2" width="27.5703125" customWidth="1"/>
  </cols>
  <sheetData>
    <row r="3" spans="1:7" x14ac:dyDescent="0.25">
      <c r="A3" s="187" t="s">
        <v>290</v>
      </c>
      <c r="B3" s="180" t="s">
        <v>291</v>
      </c>
      <c r="C3" s="187" t="s">
        <v>347</v>
      </c>
      <c r="D3" s="187" t="s">
        <v>443</v>
      </c>
      <c r="E3" s="187" t="s">
        <v>444</v>
      </c>
      <c r="F3" s="187" t="s">
        <v>445</v>
      </c>
      <c r="G3" s="187" t="s">
        <v>446</v>
      </c>
    </row>
    <row r="4" spans="1:7" x14ac:dyDescent="0.25">
      <c r="A4" s="26">
        <v>3001</v>
      </c>
      <c r="B4" s="30" t="s">
        <v>447</v>
      </c>
      <c r="C4" s="24">
        <v>4.965</v>
      </c>
      <c r="D4" s="238">
        <f>-asados!AE127</f>
        <v>-0.5728172271613353</v>
      </c>
      <c r="E4" s="238">
        <f>-envases!EH23</f>
        <v>-0.07706910466385172</v>
      </c>
      <c r="F4" s="238">
        <v>-0.1</v>
      </c>
      <c r="G4" s="24">
        <f t="shared" ref="G4:G15" si="0">SUM(C4:F4)</f>
        <v>4.215113668174813</v>
      </c>
    </row>
    <row r="5" spans="2:7" x14ac:dyDescent="0.25">
      <c r="B5" s="30" t="s">
        <v>11</v>
      </c>
      <c r="C5" s="24">
        <v>4.9</v>
      </c>
      <c r="D5" s="238">
        <f>+D4</f>
        <v>-0.5728172271613353</v>
      </c>
      <c r="E5" s="238">
        <f>+E4</f>
        <v>-0.07706910466385172</v>
      </c>
      <c r="F5" s="238">
        <f>+F4</f>
        <v>-0.1</v>
      </c>
      <c r="G5" s="24">
        <v>4.150113668174813</v>
      </c>
    </row>
    <row r="6" spans="1:7" x14ac:dyDescent="0.25">
      <c r="A6" s="26">
        <v>4000</v>
      </c>
      <c r="B6" s="30" t="s">
        <v>15</v>
      </c>
      <c r="C6" s="24">
        <v>4.6</v>
      </c>
      <c r="D6" s="238">
        <f>+D4</f>
        <v>-0.5728172271613353</v>
      </c>
      <c r="E6" s="238">
        <f>+E4</f>
        <v>-0.07706910466385172</v>
      </c>
      <c r="F6" s="238">
        <f>+F4</f>
        <v>-0.1</v>
      </c>
      <c r="G6" s="24">
        <v>3.8501136681748123</v>
      </c>
    </row>
    <row r="7" spans="1:7" x14ac:dyDescent="0.25">
      <c r="A7" s="26">
        <v>4010</v>
      </c>
      <c r="B7" s="30" t="s">
        <v>17</v>
      </c>
      <c r="C7" s="24">
        <v>5.3</v>
      </c>
      <c r="D7" s="238">
        <f>+D6</f>
        <v>-0.5728172271613353</v>
      </c>
      <c r="E7" s="238">
        <f>+E6</f>
        <v>-0.07706910466385172</v>
      </c>
      <c r="F7" s="238">
        <f>+F6</f>
        <v>-0.1</v>
      </c>
      <c r="G7" s="24">
        <v>4.550113668174813</v>
      </c>
    </row>
    <row r="8" spans="1:7" x14ac:dyDescent="0.25">
      <c r="A8" s="26">
        <v>4403</v>
      </c>
      <c r="B8" s="30" t="s">
        <v>18</v>
      </c>
      <c r="C8" s="24">
        <f>255.36/40.48</f>
        <v>6.308300395256918</v>
      </c>
      <c r="D8" s="238">
        <f>porcionados!AE304</f>
        <v>-0.6628292742830239</v>
      </c>
      <c r="E8" s="238">
        <f>-envases!AM18</f>
        <v>-0.29729652984882265</v>
      </c>
      <c r="F8" s="238">
        <v>-0.1</v>
      </c>
      <c r="G8" s="24">
        <v>5.248174591125071</v>
      </c>
    </row>
    <row r="9" spans="1:7" x14ac:dyDescent="0.25">
      <c r="A9" s="26">
        <v>4407</v>
      </c>
      <c r="B9" s="30" t="s">
        <v>20</v>
      </c>
      <c r="C9" s="24">
        <v>6.92</v>
      </c>
      <c r="D9" s="238">
        <f>D8</f>
        <v>-0.6628292742830239</v>
      </c>
      <c r="E9" s="238">
        <f>-envases!AH23</f>
        <v>-0.222929454233989</v>
      </c>
      <c r="F9" s="238">
        <f>F8</f>
        <v>-0.1</v>
      </c>
      <c r="G9" s="24">
        <v>5.934241271482987</v>
      </c>
    </row>
    <row r="10" spans="1:7" x14ac:dyDescent="0.25">
      <c r="A10" s="26">
        <v>18001830</v>
      </c>
      <c r="B10" s="30" t="s">
        <v>448</v>
      </c>
      <c r="C10" s="24">
        <f>158.03/40.48</f>
        <v>3.9039031620553364</v>
      </c>
      <c r="D10" s="238">
        <f>+D7</f>
        <v>-0.5728172271613353</v>
      </c>
      <c r="E10" s="238">
        <f>+E7</f>
        <v>-0.07706910466385172</v>
      </c>
      <c r="F10" s="238">
        <f>+F9</f>
        <v>-0.1</v>
      </c>
      <c r="G10" s="24">
        <v>3.1540168302301494</v>
      </c>
    </row>
    <row r="11" spans="1:7" x14ac:dyDescent="0.25">
      <c r="A11" s="26">
        <v>18003350</v>
      </c>
      <c r="B11" s="30" t="s">
        <v>449</v>
      </c>
      <c r="C11" s="24">
        <f>206.25/40.48</f>
        <v>5.095108695652175</v>
      </c>
      <c r="D11" s="238">
        <f t="shared" ref="D11:E13" si="1">+D10</f>
        <v>-0.5728172271613353</v>
      </c>
      <c r="E11" s="238">
        <v>-0.07706910466385172</v>
      </c>
      <c r="F11" s="238">
        <f>+F10</f>
        <v>-0.1</v>
      </c>
      <c r="G11" s="24">
        <v>4.345222363826988</v>
      </c>
    </row>
    <row r="12" spans="1:7" x14ac:dyDescent="0.25">
      <c r="A12" s="26">
        <v>3911</v>
      </c>
      <c r="B12" s="30" t="s">
        <v>294</v>
      </c>
      <c r="C12" s="24">
        <f>238.39/40.48</f>
        <v>5.889081027667984</v>
      </c>
      <c r="D12" s="238">
        <v>-0.5728172271613353</v>
      </c>
      <c r="E12" s="238">
        <v>-0.07706910466385172</v>
      </c>
      <c r="F12" s="238">
        <f>+F11</f>
        <v>-0.1</v>
      </c>
      <c r="G12" s="24">
        <v>5.139194695842797</v>
      </c>
    </row>
    <row r="13" spans="1:7" x14ac:dyDescent="0.25">
      <c r="A13" s="26">
        <v>3101</v>
      </c>
      <c r="B13" s="239" t="s">
        <v>293</v>
      </c>
      <c r="C13" s="24">
        <f>208.03/40.48</f>
        <v>5.139081027667984</v>
      </c>
      <c r="D13" s="238">
        <v>-0.5728172271613353</v>
      </c>
      <c r="E13" s="238">
        <v>-0.07706910466385172</v>
      </c>
      <c r="F13" s="238">
        <f>+F12</f>
        <v>-0.1</v>
      </c>
      <c r="G13" s="24">
        <f t="shared" ref="G13" si="2">SUM(C13:F13)</f>
        <v>4.389194695842797</v>
      </c>
    </row>
    <row r="14" spans="1:7" x14ac:dyDescent="0.25">
      <c r="A14" s="26">
        <v>438031</v>
      </c>
      <c r="B14" s="240" t="s">
        <v>32</v>
      </c>
      <c r="C14" s="24">
        <f>870/1.1391184/40.48</f>
        <v>18.86730550718879</v>
      </c>
      <c r="D14" s="238">
        <f>+D9</f>
        <v>-0.6628292742830239</v>
      </c>
      <c r="E14" s="238">
        <f>-envases!D148</f>
        <v>-0.6572762244899504</v>
      </c>
      <c r="F14" s="238">
        <f>+F9</f>
        <v>-0.1</v>
      </c>
      <c r="G14" s="24">
        <v>17.447200008415813</v>
      </c>
    </row>
    <row r="15" spans="1:7" x14ac:dyDescent="0.25">
      <c r="A15" s="26">
        <v>439016</v>
      </c>
      <c r="B15" s="239" t="s">
        <v>36</v>
      </c>
      <c r="C15" s="24">
        <f>1160/1.1391184/40.48</f>
        <v>25.15640734291838</v>
      </c>
      <c r="D15" s="238">
        <f>+D14</f>
        <v>-0.6628292742830239</v>
      </c>
      <c r="E15" s="238">
        <f>-envases!D64</f>
        <v>-0.5570630949770353</v>
      </c>
      <c r="F15" s="238">
        <f>+F14</f>
        <v>-0.1</v>
      </c>
      <c r="G15" s="24">
        <v>23.83651497365832</v>
      </c>
    </row>
    <row r="16" spans="1:7" x14ac:dyDescent="0.25">
      <c r="A16" s="26"/>
      <c r="B16" s="239"/>
      <c r="C16" s="24"/>
      <c r="D16" s="238"/>
      <c r="E16" s="238"/>
      <c r="F16" s="238"/>
      <c r="G16" s="24"/>
    </row>
    <row r="17" spans="1:7" x14ac:dyDescent="0.25">
      <c r="A17" s="241" t="s">
        <v>450</v>
      </c>
      <c r="B17" s="87"/>
      <c r="C17" s="87"/>
      <c r="D17" s="87"/>
      <c r="E17" s="87"/>
      <c r="F17" s="87"/>
      <c r="G17" s="242"/>
    </row>
    <row r="18" spans="1:7" x14ac:dyDescent="0.25">
      <c r="A18" s="26">
        <v>16101790</v>
      </c>
      <c r="B18" s="30" t="s">
        <v>451</v>
      </c>
      <c r="C18" s="24">
        <v>12.61</v>
      </c>
      <c r="D18" s="238">
        <f>+D15</f>
        <v>-0.6628292742830239</v>
      </c>
      <c r="E18" s="238">
        <f>E4</f>
        <v>-0.07706910466385172</v>
      </c>
      <c r="F18" s="238">
        <f>+F15</f>
        <v>-0.1</v>
      </c>
      <c r="G18" s="24">
        <f t="shared" ref="G18:G27" si="3">SUM(C18:F18)</f>
        <v>11.770101621053124</v>
      </c>
    </row>
    <row r="19" spans="1:7" x14ac:dyDescent="0.25">
      <c r="A19" s="26">
        <v>16103290</v>
      </c>
      <c r="B19" s="30" t="s">
        <v>452</v>
      </c>
      <c r="C19" s="24">
        <v>12.61</v>
      </c>
      <c r="D19" s="238">
        <f t="shared" ref="D19:D27" si="4">+D18</f>
        <v>-0.6628292742830239</v>
      </c>
      <c r="E19" s="238">
        <f>E4</f>
        <v>-0.07706910466385172</v>
      </c>
      <c r="F19" s="238">
        <f t="shared" ref="F19:F27" si="5">+F18</f>
        <v>-0.1</v>
      </c>
      <c r="G19" s="24">
        <v>11.770101621053124</v>
      </c>
    </row>
    <row r="20" spans="1:7" x14ac:dyDescent="0.25">
      <c r="A20" s="26">
        <v>16105240</v>
      </c>
      <c r="B20" s="30" t="s">
        <v>453</v>
      </c>
      <c r="C20" s="24">
        <v>12.8</v>
      </c>
      <c r="D20" s="238">
        <v>-0.6628292742830239</v>
      </c>
      <c r="E20" s="238">
        <f>E4</f>
        <v>-0.07706910466385172</v>
      </c>
      <c r="F20" s="238">
        <v>-0.1</v>
      </c>
      <c r="G20" s="24">
        <v>11.960101621053125</v>
      </c>
    </row>
    <row r="21" spans="1:7" x14ac:dyDescent="0.25">
      <c r="A21" s="26">
        <v>16601910</v>
      </c>
      <c r="B21" s="30" t="s">
        <v>454</v>
      </c>
      <c r="C21" s="24">
        <v>4.47</v>
      </c>
      <c r="D21" s="238">
        <v>-0.6628292742830239</v>
      </c>
      <c r="E21" s="238">
        <f>E4</f>
        <v>-0.07706910466385172</v>
      </c>
      <c r="F21" s="238">
        <v>-0.1</v>
      </c>
      <c r="G21" s="24">
        <v>3.6301016210531243</v>
      </c>
    </row>
    <row r="22" spans="1:7" x14ac:dyDescent="0.25">
      <c r="A22" s="26">
        <v>17001910</v>
      </c>
      <c r="B22" s="30" t="s">
        <v>455</v>
      </c>
      <c r="C22" s="24">
        <v>3.95</v>
      </c>
      <c r="D22" s="238">
        <v>-0.6628292742830239</v>
      </c>
      <c r="E22" s="238">
        <f>E4</f>
        <v>-0.07706910466385172</v>
      </c>
      <c r="F22" s="238">
        <v>-0.1</v>
      </c>
      <c r="G22" s="24">
        <v>3.1101016210531247</v>
      </c>
    </row>
    <row r="23" spans="1:9" x14ac:dyDescent="0.25">
      <c r="A23" s="26">
        <v>17071910</v>
      </c>
      <c r="B23" s="30" t="s">
        <v>456</v>
      </c>
      <c r="C23" s="24">
        <v>4.5</v>
      </c>
      <c r="D23" s="238">
        <v>-0.6628292742830239</v>
      </c>
      <c r="E23" s="238">
        <f>E4</f>
        <v>-0.07706910466385172</v>
      </c>
      <c r="F23" s="238">
        <v>-0.1</v>
      </c>
      <c r="G23" s="24">
        <v>3.6601016210531245</v>
      </c>
      <c r="I23">
        <f>3/1.1391184/40.48</f>
        <v>0.06505967416271995</v>
      </c>
    </row>
    <row r="24" spans="1:7" x14ac:dyDescent="0.25">
      <c r="A24" s="26">
        <v>21769820</v>
      </c>
      <c r="B24" s="30" t="s">
        <v>457</v>
      </c>
      <c r="C24" s="24">
        <v>8.2</v>
      </c>
      <c r="D24" s="238">
        <v>-0.6628292742830239</v>
      </c>
      <c r="E24" s="238">
        <f>E4</f>
        <v>-0.07706910466385172</v>
      </c>
      <c r="F24" s="238">
        <v>-0.1</v>
      </c>
      <c r="G24" s="24">
        <v>7.360101621053124</v>
      </c>
    </row>
    <row r="25" spans="1:7" x14ac:dyDescent="0.25">
      <c r="A25" s="26">
        <v>21765230</v>
      </c>
      <c r="B25" s="30" t="s">
        <v>458</v>
      </c>
      <c r="C25" s="24">
        <v>8.1</v>
      </c>
      <c r="D25" s="238">
        <v>-0.6628292742830239</v>
      </c>
      <c r="E25" s="238">
        <f>E5</f>
        <v>-0.07706910466385172</v>
      </c>
      <c r="F25" s="238">
        <v>-0.1</v>
      </c>
      <c r="G25" s="24">
        <f t="shared" ref="G25" si="6">SUM(C25:F25)</f>
        <v>7.260101621053124</v>
      </c>
    </row>
    <row r="26" spans="1:7" x14ac:dyDescent="0.25">
      <c r="A26" s="26">
        <v>25169820</v>
      </c>
      <c r="B26" s="30" t="s">
        <v>459</v>
      </c>
      <c r="C26" s="24">
        <v>14.23001508295626</v>
      </c>
      <c r="D26" s="238">
        <f>+D24</f>
        <v>-0.6628292742830239</v>
      </c>
      <c r="E26" s="238">
        <f>E4</f>
        <v>-0.07706910466385172</v>
      </c>
      <c r="F26" s="238">
        <f>+F24</f>
        <v>-0.1</v>
      </c>
      <c r="G26" s="24">
        <v>13.390116704009385</v>
      </c>
    </row>
    <row r="27" spans="1:7" x14ac:dyDescent="0.25">
      <c r="A27" s="26">
        <v>18961511</v>
      </c>
      <c r="B27" s="243" t="s">
        <v>460</v>
      </c>
      <c r="C27" s="24">
        <f>193.75/40.48</f>
        <v>4.786314229249013</v>
      </c>
      <c r="D27" s="238">
        <v>-0.6628292742830239</v>
      </c>
      <c r="E27" s="238">
        <f>E5</f>
        <v>-0.07706910466385172</v>
      </c>
      <c r="F27" s="238">
        <v>-0.1</v>
      </c>
      <c r="G27" s="24">
        <v>3.9464158503021367</v>
      </c>
    </row>
  </sheetData>
  <mergeCells count="1">
    <mergeCell ref="A17:G17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682"/>
  <sheetViews>
    <sheetView workbookViewId="0" zoomScale="85" zoomScaleNormal="85">
      <selection activeCell="CN165" sqref="CN165"/>
    </sheetView>
  </sheetViews>
  <sheetFormatPr defaultRowHeight="15" outlineLevelRow="0" outlineLevelCol="0" x14ac:dyDescent="0.25" defaultColWidth="10.5703125"/>
  <cols>
    <col min="3" max="3" width="45.5703125" customWidth="1"/>
    <col min="5" max="7" width="12.85546875" customWidth="1"/>
    <col min="8" max="8" width="30.85546875" customWidth="1"/>
    <col min="9" max="9" width="12.85546875" customWidth="1"/>
    <col min="10" max="10" width="10.42578125" customWidth="1"/>
    <col min="11" max="11" width="12.140625" customWidth="1"/>
    <col min="12" max="12" width="10.42578125" customWidth="1"/>
    <col min="13" max="13" width="31.5703125" customWidth="1"/>
    <col min="14" max="14" width="10.42578125" customWidth="1"/>
    <col min="15" max="15" width="14.42578125" customWidth="1"/>
    <col min="16" max="16" width="5.42578125" customWidth="1"/>
    <col min="17" max="17" width="11.5703125" customWidth="1"/>
    <col min="18" max="18" width="28" customWidth="1"/>
    <col min="19" max="19" width="10.5703125" customWidth="1"/>
    <col min="20" max="20" width="14.85546875" customWidth="1"/>
    <col min="21" max="21" width="5.42578125" customWidth="1"/>
    <col min="23" max="23" width="37.85546875" customWidth="1"/>
    <col min="25" max="25" width="12.85546875" customWidth="1"/>
    <col min="26" max="26" width="8.7109375" customWidth="1"/>
    <col min="28" max="28" width="45" customWidth="1"/>
    <col min="29" max="29" width="13.85546875" customWidth="1"/>
    <col min="30" max="30" width="12.85546875" customWidth="1"/>
    <col min="33" max="33" width="40.7109375" customWidth="1"/>
    <col min="38" max="38" width="38.42578125" customWidth="1"/>
    <col min="40" max="40" width="12.85546875" customWidth="1"/>
    <col min="43" max="43" width="35.42578125" customWidth="1"/>
    <col min="47" max="47" width="12.5703125" customWidth="1"/>
    <col min="48" max="48" width="34.42578125" customWidth="1"/>
    <col min="50" max="50" width="18" customWidth="1"/>
    <col min="53" max="53" width="36.42578125" customWidth="1"/>
    <col min="54" max="54" width="11.5703125" customWidth="1"/>
    <col min="55" max="57" width="11.140625" customWidth="1"/>
    <col min="58" max="58" width="33" customWidth="1"/>
    <col min="59" max="60" width="11.140625" customWidth="1"/>
    <col min="62" max="62" width="14" customWidth="1"/>
    <col min="63" max="63" width="29.28515625" customWidth="1"/>
    <col min="64" max="64" width="13.7109375" customWidth="1"/>
    <col min="68" max="68" width="32.140625" customWidth="1"/>
    <col min="73" max="73" width="32.140625" customWidth="1"/>
    <col min="78" max="78" width="34.5703125" customWidth="1"/>
    <col min="82" max="82" width="8.140625" customWidth="1"/>
    <col min="83" max="83" width="35.140625" customWidth="1"/>
    <col min="87" max="87" width="13.28515625" customWidth="1"/>
    <col min="88" max="88" width="33.5703125" customWidth="1"/>
    <col min="93" max="93" width="34" customWidth="1"/>
    <col min="97" max="97" width="15.7109375" customWidth="1"/>
    <col min="98" max="98" width="34.140625" customWidth="1"/>
    <col min="103" max="103" width="32.5703125" customWidth="1"/>
    <col min="108" max="108" width="36.5703125" customWidth="1"/>
    <col min="113" max="113" width="41.140625" customWidth="1"/>
    <col min="118" max="118" width="40.140625" customWidth="1"/>
    <col min="123" max="123" width="37.5703125" customWidth="1"/>
    <col min="128" max="128" width="31" customWidth="1"/>
  </cols>
  <sheetData>
    <row r="1" spans="4:36" x14ac:dyDescent="0.25">
      <c r="D1" s="244">
        <v>46216</v>
      </c>
      <c r="E1" s="107" t="s">
        <v>461</v>
      </c>
      <c r="F1" s="107"/>
      <c r="J1" s="107" t="str">
        <f>E1</f>
        <v>dólar 13/07/26</v>
      </c>
      <c r="K1" s="107"/>
      <c r="O1" s="107" t="str">
        <f>J1</f>
        <v>dólar 13/07/26</v>
      </c>
      <c r="P1" s="107"/>
      <c r="T1" s="107" t="str">
        <f>O1</f>
        <v>dólar 13/07/26</v>
      </c>
      <c r="U1" s="107"/>
      <c r="Y1" s="107" t="str">
        <f>T1</f>
        <v>dólar 13/07/26</v>
      </c>
      <c r="Z1" s="107"/>
      <c r="AD1" s="107" t="str">
        <f>Y1</f>
        <v>dólar 13/07/26</v>
      </c>
      <c r="AE1" s="107"/>
      <c r="AI1" s="107" t="str">
        <f>AD1</f>
        <v>dólar 13/07/26</v>
      </c>
      <c r="AJ1" s="107"/>
    </row>
    <row r="2" ht="18.75" customHeight="1" spans="1:144" x14ac:dyDescent="0.25">
      <c r="A2" s="245"/>
      <c r="B2" s="246" t="s">
        <v>462</v>
      </c>
      <c r="C2" s="246"/>
      <c r="D2" s="246"/>
      <c r="E2" s="247">
        <v>40.26</v>
      </c>
      <c r="F2" s="247"/>
      <c r="G2" s="248">
        <v>437</v>
      </c>
      <c r="H2" s="248"/>
      <c r="I2" s="248"/>
      <c r="J2" s="249">
        <f>E2</f>
        <v>40.26</v>
      </c>
      <c r="K2" s="249"/>
      <c r="L2" s="248">
        <v>436</v>
      </c>
      <c r="M2" s="248"/>
      <c r="N2" s="248"/>
      <c r="O2" s="249">
        <f>J2</f>
        <v>40.26</v>
      </c>
      <c r="P2" s="249"/>
      <c r="Q2" s="250">
        <v>998</v>
      </c>
      <c r="R2" s="250"/>
      <c r="S2" s="250"/>
      <c r="T2" s="249">
        <f>O2</f>
        <v>40.26</v>
      </c>
      <c r="U2" s="249"/>
      <c r="V2" s="251">
        <v>993</v>
      </c>
      <c r="W2" s="251"/>
      <c r="X2" s="251"/>
      <c r="Y2" s="249">
        <f>T2</f>
        <v>40.26</v>
      </c>
      <c r="Z2" s="249"/>
      <c r="AA2" s="250">
        <v>991</v>
      </c>
      <c r="AB2" s="250"/>
      <c r="AC2" s="250"/>
      <c r="AD2" s="249">
        <f>Y2</f>
        <v>40.26</v>
      </c>
      <c r="AE2" s="249"/>
      <c r="AF2" s="251">
        <v>884</v>
      </c>
      <c r="AG2" s="251"/>
      <c r="AH2" s="251"/>
      <c r="AI2" s="249">
        <f>AD2</f>
        <v>40.26</v>
      </c>
      <c r="AJ2" s="249"/>
      <c r="AK2" s="251">
        <v>1987</v>
      </c>
      <c r="AL2" s="251"/>
      <c r="AM2" s="251"/>
      <c r="AN2" s="252"/>
      <c r="AO2" s="252"/>
      <c r="AP2" s="253">
        <v>3673</v>
      </c>
      <c r="AQ2" s="253"/>
      <c r="AR2" s="253"/>
      <c r="AS2" s="109"/>
      <c r="AT2" s="109"/>
      <c r="AU2" s="254">
        <v>5687036</v>
      </c>
      <c r="AV2" s="254"/>
      <c r="AW2" s="254"/>
      <c r="AX2" s="109"/>
      <c r="AY2" s="109"/>
      <c r="AZ2" s="254" t="s">
        <v>463</v>
      </c>
      <c r="BA2" s="254"/>
      <c r="BB2" s="254"/>
      <c r="BC2" s="252"/>
      <c r="BD2" s="252"/>
      <c r="BE2" s="254" t="s">
        <v>464</v>
      </c>
      <c r="BF2" s="254"/>
      <c r="BG2" s="254"/>
      <c r="BH2" s="252"/>
      <c r="BI2" s="252"/>
      <c r="BJ2" s="254">
        <v>13390</v>
      </c>
      <c r="BK2" s="254"/>
      <c r="BL2" s="254"/>
      <c r="BM2" s="109"/>
      <c r="BN2" s="252"/>
      <c r="BO2" s="254">
        <v>3516</v>
      </c>
      <c r="BP2" s="254"/>
      <c r="BQ2" s="254"/>
      <c r="BR2" s="252"/>
      <c r="BS2" s="252"/>
      <c r="BT2" s="254">
        <v>4516</v>
      </c>
      <c r="BU2" s="254"/>
      <c r="BV2" s="254"/>
      <c r="BW2" s="252"/>
      <c r="BX2" s="252"/>
      <c r="BY2" s="254">
        <v>4543</v>
      </c>
      <c r="BZ2" s="254"/>
      <c r="CA2" s="254"/>
      <c r="CB2" s="252"/>
      <c r="CC2" s="109"/>
      <c r="CD2" s="254">
        <v>4545</v>
      </c>
      <c r="CE2" s="254"/>
      <c r="CF2" s="254"/>
      <c r="CG2" s="252"/>
      <c r="CH2" s="252"/>
      <c r="CI2" s="254">
        <v>4546</v>
      </c>
      <c r="CJ2" s="254"/>
      <c r="CK2" s="254"/>
      <c r="CL2" s="252"/>
      <c r="CM2" s="252"/>
      <c r="CN2" s="254">
        <v>4858</v>
      </c>
      <c r="CO2" s="254"/>
      <c r="CP2" s="254"/>
      <c r="CQ2" s="252"/>
      <c r="CR2" s="252"/>
      <c r="CS2" s="254" t="s">
        <v>465</v>
      </c>
      <c r="CT2" s="254"/>
      <c r="CU2" s="254"/>
      <c r="CV2" s="245"/>
      <c r="CW2" s="245"/>
      <c r="CX2" s="254">
        <v>3193</v>
      </c>
      <c r="CY2" s="254"/>
      <c r="CZ2" s="254"/>
      <c r="DA2" s="245"/>
      <c r="DB2" s="245"/>
      <c r="DC2" s="254">
        <v>4841</v>
      </c>
      <c r="DD2" s="254"/>
      <c r="DE2" s="254"/>
      <c r="DF2" s="245"/>
      <c r="DG2" s="245"/>
      <c r="DH2" s="254">
        <v>5516</v>
      </c>
      <c r="DI2" s="254"/>
      <c r="DJ2" s="254"/>
      <c r="DK2" s="245"/>
      <c r="DL2" s="245"/>
      <c r="DM2" s="254">
        <v>1993</v>
      </c>
      <c r="DN2" s="254"/>
      <c r="DO2" s="254"/>
      <c r="DP2" s="245"/>
      <c r="DQ2" s="245"/>
      <c r="DR2" s="254">
        <v>6112</v>
      </c>
      <c r="DS2" s="254"/>
      <c r="DT2" s="254"/>
      <c r="DU2" s="245"/>
      <c r="DV2" s="245"/>
      <c r="DW2" s="254">
        <v>2366</v>
      </c>
      <c r="DX2" s="254"/>
      <c r="DY2" s="254"/>
      <c r="DZ2" s="245"/>
      <c r="EA2" s="245"/>
      <c r="EB2" s="245"/>
      <c r="EC2" s="245"/>
      <c r="ED2" s="245"/>
      <c r="EE2" s="245"/>
      <c r="EF2" s="245"/>
      <c r="EG2" s="245"/>
      <c r="EH2" s="245"/>
      <c r="EI2" s="245"/>
      <c r="EJ2" s="245"/>
      <c r="EK2" s="245"/>
      <c r="EL2" s="245"/>
      <c r="EM2" s="245"/>
      <c r="EN2" s="245"/>
    </row>
    <row r="3" spans="1:144" x14ac:dyDescent="0.25">
      <c r="A3" s="245"/>
      <c r="B3" s="245"/>
      <c r="C3" s="245"/>
      <c r="D3" s="255" t="s">
        <v>466</v>
      </c>
      <c r="E3" s="255" t="s">
        <v>467</v>
      </c>
      <c r="F3" s="245"/>
      <c r="G3" s="245"/>
      <c r="H3" s="245"/>
      <c r="I3" s="245" t="s">
        <v>466</v>
      </c>
      <c r="J3" s="255" t="s">
        <v>467</v>
      </c>
      <c r="K3" s="245"/>
      <c r="L3" s="245"/>
      <c r="M3" s="245"/>
      <c r="N3" s="245" t="s">
        <v>466</v>
      </c>
      <c r="O3" s="255" t="s">
        <v>467</v>
      </c>
      <c r="P3" s="245"/>
      <c r="Q3" s="2"/>
      <c r="R3" s="1"/>
      <c r="S3" s="1"/>
      <c r="T3" s="245"/>
      <c r="U3" s="245"/>
      <c r="V3" s="2"/>
      <c r="W3" s="1"/>
      <c r="X3" s="1"/>
      <c r="Y3" s="245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BC3" s="245"/>
      <c r="BD3" s="245"/>
      <c r="BE3" s="245"/>
      <c r="BF3" s="245"/>
      <c r="BG3" s="245"/>
      <c r="BH3" s="245"/>
      <c r="BI3" s="245"/>
      <c r="BN3" s="245"/>
      <c r="BO3" s="245"/>
      <c r="BP3" s="245"/>
      <c r="BQ3" s="245"/>
      <c r="BR3" s="245"/>
      <c r="BS3" s="245"/>
      <c r="BT3" s="245"/>
      <c r="BU3" s="245"/>
      <c r="BV3" s="245"/>
      <c r="BW3" s="245"/>
      <c r="BX3" s="245"/>
      <c r="BY3" s="245"/>
      <c r="BZ3" s="245"/>
      <c r="CA3" s="245"/>
      <c r="CB3" s="245"/>
      <c r="CG3" s="245"/>
      <c r="CH3" s="245"/>
      <c r="CI3" s="245"/>
      <c r="CJ3" s="245"/>
      <c r="CK3" s="245"/>
      <c r="CL3" s="245"/>
      <c r="CM3" s="245"/>
      <c r="CN3" s="245"/>
      <c r="CO3" s="245"/>
      <c r="CP3" s="245"/>
      <c r="CQ3" s="245"/>
      <c r="CR3" s="245"/>
      <c r="CS3" s="245"/>
      <c r="CT3" s="245"/>
      <c r="CU3" s="245"/>
      <c r="CV3" s="245"/>
      <c r="CW3" s="245"/>
      <c r="CX3" s="245"/>
      <c r="CY3" s="245"/>
      <c r="CZ3" s="245"/>
      <c r="DA3" s="245"/>
      <c r="DB3" s="245"/>
      <c r="DC3" s="256"/>
      <c r="DD3" s="257"/>
      <c r="DE3" s="256"/>
      <c r="DF3" s="258"/>
      <c r="DG3" s="258"/>
      <c r="DH3" s="258"/>
      <c r="DI3" s="258"/>
      <c r="DJ3" s="258"/>
      <c r="DK3" s="258"/>
      <c r="DL3" s="258"/>
      <c r="DN3" s="258"/>
      <c r="DO3" s="258"/>
      <c r="DP3" s="258"/>
      <c r="DQ3" s="258"/>
      <c r="DR3" s="258"/>
      <c r="DS3" s="258"/>
      <c r="DT3" s="258"/>
      <c r="DU3" s="258"/>
      <c r="DV3" s="258"/>
      <c r="DW3" s="258"/>
      <c r="DX3" s="258"/>
      <c r="DY3" s="258"/>
      <c r="DZ3" s="258"/>
      <c r="EA3" s="258"/>
      <c r="EB3" s="258"/>
      <c r="EC3" s="258"/>
      <c r="ED3" s="245"/>
      <c r="EE3" s="245"/>
      <c r="EF3" s="245"/>
      <c r="EG3" s="245"/>
      <c r="EH3" s="245"/>
      <c r="EI3" s="245"/>
      <c r="EJ3" s="245"/>
      <c r="EK3" s="245"/>
      <c r="EL3" s="245"/>
      <c r="EM3" s="245"/>
      <c r="EN3" s="245"/>
    </row>
    <row r="4" spans="1:144" x14ac:dyDescent="0.25">
      <c r="A4" s="245"/>
      <c r="B4" s="259">
        <v>439010</v>
      </c>
      <c r="C4" s="260" t="s">
        <v>468</v>
      </c>
      <c r="D4" s="261">
        <v>490</v>
      </c>
      <c r="E4" s="262">
        <f>D4/E2</f>
        <v>12.170889220069549</v>
      </c>
      <c r="F4" s="245"/>
      <c r="G4" s="263">
        <v>437016</v>
      </c>
      <c r="H4" s="264" t="s">
        <v>469</v>
      </c>
      <c r="I4" s="265">
        <v>1105</v>
      </c>
      <c r="J4" s="266">
        <f>I4/E2</f>
        <v>27.446597118728267</v>
      </c>
      <c r="K4" s="245"/>
      <c r="L4" s="263">
        <v>436031</v>
      </c>
      <c r="M4" s="264" t="s">
        <v>470</v>
      </c>
      <c r="N4" s="265">
        <v>447</v>
      </c>
      <c r="O4" s="266">
        <f>N4/E2</f>
        <v>11.102831594634873</v>
      </c>
      <c r="P4" s="245"/>
      <c r="Q4" s="263">
        <v>998001</v>
      </c>
      <c r="R4" s="264" t="s">
        <v>471</v>
      </c>
      <c r="S4" s="267"/>
      <c r="T4" s="245"/>
      <c r="U4" s="245"/>
      <c r="V4" s="263">
        <v>993170</v>
      </c>
      <c r="W4" s="264" t="s">
        <v>472</v>
      </c>
      <c r="X4" s="267"/>
      <c r="Y4" s="245"/>
      <c r="Z4" s="245"/>
      <c r="AA4" s="263">
        <v>991072</v>
      </c>
      <c r="AB4" s="264" t="s">
        <v>473</v>
      </c>
      <c r="AC4" s="267"/>
      <c r="AD4" s="245"/>
      <c r="AE4" s="245"/>
      <c r="AF4" s="263">
        <v>884507</v>
      </c>
      <c r="AG4" s="268" t="s">
        <v>186</v>
      </c>
      <c r="AH4" s="267"/>
      <c r="AI4" s="269"/>
      <c r="AJ4" s="245"/>
      <c r="AK4" s="263">
        <v>1987072</v>
      </c>
      <c r="AL4" s="264" t="s">
        <v>474</v>
      </c>
      <c r="AM4" s="267"/>
      <c r="AN4" s="245"/>
      <c r="AO4" s="245"/>
      <c r="AP4" s="263">
        <v>3673916</v>
      </c>
      <c r="AQ4" s="264" t="s">
        <v>475</v>
      </c>
      <c r="AR4" s="267"/>
      <c r="AS4" s="269"/>
      <c r="AU4" s="270">
        <v>5687036</v>
      </c>
      <c r="AV4" s="264" t="s">
        <v>476</v>
      </c>
      <c r="AW4" s="271"/>
      <c r="AX4" s="272"/>
      <c r="AZ4" s="263">
        <v>441024</v>
      </c>
      <c r="BA4" s="264" t="s">
        <v>477</v>
      </c>
      <c r="BB4" s="267"/>
      <c r="BC4" s="269"/>
      <c r="BD4" s="245"/>
      <c r="BE4" s="263">
        <v>442024</v>
      </c>
      <c r="BF4" s="264" t="s">
        <v>478</v>
      </c>
      <c r="BG4" s="267"/>
      <c r="BH4" s="269"/>
      <c r="BI4" s="245"/>
      <c r="BJ4" s="263">
        <v>13390</v>
      </c>
      <c r="BK4" s="264" t="s">
        <v>479</v>
      </c>
      <c r="BL4" s="267"/>
      <c r="BM4" s="245"/>
      <c r="BN4" s="245"/>
      <c r="BO4" s="263">
        <v>3516360</v>
      </c>
      <c r="BP4" s="264" t="s">
        <v>480</v>
      </c>
      <c r="BQ4" s="267"/>
      <c r="BR4" s="269"/>
      <c r="BS4" s="245"/>
      <c r="BT4" s="263">
        <v>4516093</v>
      </c>
      <c r="BU4" s="264" t="s">
        <v>481</v>
      </c>
      <c r="BV4" s="267"/>
      <c r="BW4" s="269"/>
      <c r="BX4" s="245"/>
      <c r="BY4" s="263">
        <v>4543760</v>
      </c>
      <c r="BZ4" s="264" t="s">
        <v>482</v>
      </c>
      <c r="CA4" s="267"/>
      <c r="CB4" s="269"/>
      <c r="CD4" s="259">
        <v>4545160</v>
      </c>
      <c r="CE4" s="260" t="s">
        <v>483</v>
      </c>
      <c r="CF4" s="259"/>
      <c r="CG4" s="272"/>
      <c r="CH4" s="266"/>
      <c r="CI4" s="263">
        <v>4546960</v>
      </c>
      <c r="CJ4" s="264" t="s">
        <v>484</v>
      </c>
      <c r="CK4" s="267"/>
      <c r="CL4" s="269"/>
      <c r="CM4" s="266"/>
      <c r="CN4" s="259">
        <v>4858160</v>
      </c>
      <c r="CO4" s="260" t="s">
        <v>485</v>
      </c>
      <c r="CP4" s="259"/>
      <c r="CQ4" s="272"/>
      <c r="CR4" s="266"/>
      <c r="CS4" s="259">
        <v>4865160</v>
      </c>
      <c r="CT4" s="260" t="s">
        <v>485</v>
      </c>
      <c r="CU4" s="259"/>
      <c r="CV4" s="272"/>
      <c r="CW4" s="266"/>
      <c r="CX4" s="263">
        <v>3193072</v>
      </c>
      <c r="CY4" s="264" t="s">
        <v>486</v>
      </c>
      <c r="CZ4" s="265"/>
      <c r="DA4" s="266"/>
      <c r="DB4" s="266"/>
      <c r="DC4" s="259">
        <v>4841024</v>
      </c>
      <c r="DD4" s="260" t="s">
        <v>487</v>
      </c>
      <c r="DE4" s="259"/>
      <c r="DF4" s="266"/>
      <c r="DG4" s="266"/>
      <c r="DH4" s="263">
        <v>5516193</v>
      </c>
      <c r="DI4" s="264" t="s">
        <v>488</v>
      </c>
      <c r="DJ4" s="267"/>
      <c r="DK4" s="245"/>
      <c r="DL4" s="266"/>
      <c r="DM4" s="263">
        <v>1993916</v>
      </c>
      <c r="DN4" s="264" t="s">
        <v>489</v>
      </c>
      <c r="DO4" s="267"/>
      <c r="DP4" s="269"/>
      <c r="DQ4" s="245"/>
      <c r="DR4" s="263">
        <v>6112716</v>
      </c>
      <c r="DS4" s="264" t="s">
        <v>469</v>
      </c>
      <c r="DT4" s="265"/>
      <c r="DU4" s="245"/>
      <c r="DV4" s="245"/>
      <c r="DW4" s="263">
        <v>2366095</v>
      </c>
      <c r="DX4" s="264" t="s">
        <v>490</v>
      </c>
      <c r="DY4" s="265"/>
      <c r="DZ4" s="245"/>
      <c r="EA4" s="245"/>
      <c r="EB4" s="245"/>
      <c r="EC4" s="266"/>
      <c r="ED4" s="266"/>
      <c r="EE4" s="245"/>
      <c r="EF4" s="252" t="s">
        <v>491</v>
      </c>
      <c r="EG4" s="245"/>
      <c r="EH4" s="245"/>
      <c r="EI4" s="273" t="s">
        <v>492</v>
      </c>
      <c r="EJ4" s="273" t="s">
        <v>493</v>
      </c>
      <c r="EK4" s="164" t="s">
        <v>494</v>
      </c>
      <c r="EL4" s="274" t="s">
        <v>467</v>
      </c>
      <c r="EM4" s="245"/>
      <c r="EN4" s="245"/>
    </row>
    <row r="5" spans="1:144" x14ac:dyDescent="0.25">
      <c r="A5" s="245"/>
      <c r="B5" s="275" t="s">
        <v>492</v>
      </c>
      <c r="C5" s="276" t="s">
        <v>495</v>
      </c>
      <c r="D5" s="275" t="s">
        <v>467</v>
      </c>
      <c r="E5" s="245"/>
      <c r="F5" s="245"/>
      <c r="G5" s="275" t="s">
        <v>492</v>
      </c>
      <c r="H5" s="277" t="s">
        <v>495</v>
      </c>
      <c r="I5" s="275" t="s">
        <v>467</v>
      </c>
      <c r="J5" s="245"/>
      <c r="K5" s="245"/>
      <c r="L5" s="275" t="s">
        <v>492</v>
      </c>
      <c r="M5" s="277" t="s">
        <v>495</v>
      </c>
      <c r="N5" s="275" t="s">
        <v>467</v>
      </c>
      <c r="O5" s="245"/>
      <c r="P5" s="245"/>
      <c r="Q5" s="275" t="s">
        <v>492</v>
      </c>
      <c r="R5" s="276" t="s">
        <v>495</v>
      </c>
      <c r="S5" s="275" t="s">
        <v>467</v>
      </c>
      <c r="T5" s="245"/>
      <c r="U5" s="245"/>
      <c r="V5" s="275" t="s">
        <v>492</v>
      </c>
      <c r="W5" s="276" t="s">
        <v>495</v>
      </c>
      <c r="X5" s="275" t="s">
        <v>467</v>
      </c>
      <c r="Y5" s="245"/>
      <c r="Z5" s="245"/>
      <c r="AA5" s="275" t="s">
        <v>492</v>
      </c>
      <c r="AB5" s="276" t="s">
        <v>495</v>
      </c>
      <c r="AC5" s="275" t="s">
        <v>467</v>
      </c>
      <c r="AD5" s="245"/>
      <c r="AE5" s="245"/>
      <c r="AF5" s="275" t="s">
        <v>492</v>
      </c>
      <c r="AG5" s="276" t="s">
        <v>495</v>
      </c>
      <c r="AH5" s="275" t="s">
        <v>467</v>
      </c>
      <c r="AI5" s="269"/>
      <c r="AJ5" s="245"/>
      <c r="AK5" s="275" t="s">
        <v>492</v>
      </c>
      <c r="AL5" s="276" t="s">
        <v>495</v>
      </c>
      <c r="AM5" s="275" t="s">
        <v>467</v>
      </c>
      <c r="AN5" s="245"/>
      <c r="AO5" s="245"/>
      <c r="AP5" s="275" t="s">
        <v>492</v>
      </c>
      <c r="AQ5" s="276" t="s">
        <v>495</v>
      </c>
      <c r="AR5" s="275" t="s">
        <v>467</v>
      </c>
      <c r="AS5" s="269"/>
      <c r="AU5" s="275" t="s">
        <v>492</v>
      </c>
      <c r="AV5" s="276" t="s">
        <v>495</v>
      </c>
      <c r="AW5" s="275" t="s">
        <v>467</v>
      </c>
      <c r="AX5" s="269"/>
      <c r="AZ5" s="275" t="s">
        <v>492</v>
      </c>
      <c r="BA5" s="276" t="s">
        <v>495</v>
      </c>
      <c r="BB5" s="275" t="s">
        <v>467</v>
      </c>
      <c r="BC5" s="269"/>
      <c r="BD5" s="245"/>
      <c r="BE5" s="275" t="s">
        <v>492</v>
      </c>
      <c r="BF5" s="276" t="s">
        <v>495</v>
      </c>
      <c r="BG5" s="275" t="s">
        <v>467</v>
      </c>
      <c r="BH5" s="269"/>
      <c r="BI5" s="245"/>
      <c r="BJ5" s="275" t="s">
        <v>492</v>
      </c>
      <c r="BK5" s="276" t="s">
        <v>495</v>
      </c>
      <c r="BL5" s="275" t="s">
        <v>467</v>
      </c>
      <c r="BM5" s="245"/>
      <c r="BN5" s="245"/>
      <c r="BO5" s="275" t="s">
        <v>492</v>
      </c>
      <c r="BP5" s="276" t="s">
        <v>495</v>
      </c>
      <c r="BQ5" s="275" t="s">
        <v>467</v>
      </c>
      <c r="BR5" s="269"/>
      <c r="BS5" s="245"/>
      <c r="BT5" s="275" t="s">
        <v>492</v>
      </c>
      <c r="BU5" s="276" t="s">
        <v>495</v>
      </c>
      <c r="BV5" s="275" t="s">
        <v>467</v>
      </c>
      <c r="BW5" s="269"/>
      <c r="BX5" s="245"/>
      <c r="BY5" s="275" t="s">
        <v>492</v>
      </c>
      <c r="BZ5" s="276" t="s">
        <v>495</v>
      </c>
      <c r="CA5" s="275" t="s">
        <v>467</v>
      </c>
      <c r="CB5" s="269"/>
      <c r="CD5" s="275" t="s">
        <v>492</v>
      </c>
      <c r="CE5" s="276" t="s">
        <v>495</v>
      </c>
      <c r="CF5" s="275" t="s">
        <v>467</v>
      </c>
      <c r="CG5" s="245"/>
      <c r="CH5" s="245"/>
      <c r="CI5" s="275" t="s">
        <v>492</v>
      </c>
      <c r="CJ5" s="276" t="s">
        <v>495</v>
      </c>
      <c r="CK5" s="275" t="s">
        <v>467</v>
      </c>
      <c r="CL5" s="269"/>
      <c r="CM5" s="245"/>
      <c r="CN5" s="275" t="s">
        <v>492</v>
      </c>
      <c r="CO5" s="276" t="s">
        <v>495</v>
      </c>
      <c r="CP5" s="275" t="s">
        <v>467</v>
      </c>
      <c r="CQ5" s="245"/>
      <c r="CR5" s="245"/>
      <c r="CS5" s="275" t="s">
        <v>492</v>
      </c>
      <c r="CT5" s="276" t="s">
        <v>495</v>
      </c>
      <c r="CU5" s="275" t="s">
        <v>467</v>
      </c>
      <c r="CV5" s="245"/>
      <c r="CW5" s="245"/>
      <c r="CX5" s="275" t="s">
        <v>492</v>
      </c>
      <c r="CY5" s="277" t="s">
        <v>495</v>
      </c>
      <c r="CZ5" s="275" t="s">
        <v>467</v>
      </c>
      <c r="DA5" s="245"/>
      <c r="DB5" s="245"/>
      <c r="DC5" s="275" t="s">
        <v>492</v>
      </c>
      <c r="DD5" s="276" t="s">
        <v>495</v>
      </c>
      <c r="DE5" s="275" t="s">
        <v>467</v>
      </c>
      <c r="DF5" s="245"/>
      <c r="DG5" s="245"/>
      <c r="DH5" s="275" t="s">
        <v>492</v>
      </c>
      <c r="DI5" s="276" t="s">
        <v>495</v>
      </c>
      <c r="DJ5" s="275" t="s">
        <v>467</v>
      </c>
      <c r="DK5" s="245"/>
      <c r="DL5" s="245"/>
      <c r="DM5" s="275" t="s">
        <v>492</v>
      </c>
      <c r="DN5" s="276" t="s">
        <v>495</v>
      </c>
      <c r="DO5" s="275" t="s">
        <v>467</v>
      </c>
      <c r="DP5" s="269"/>
      <c r="DQ5" s="245"/>
      <c r="DR5" s="275" t="s">
        <v>492</v>
      </c>
      <c r="DS5" s="277" t="s">
        <v>495</v>
      </c>
      <c r="DT5" s="275" t="s">
        <v>467</v>
      </c>
      <c r="DU5" s="245"/>
      <c r="DV5" s="245"/>
      <c r="DW5" s="275" t="s">
        <v>492</v>
      </c>
      <c r="DX5" s="277" t="s">
        <v>495</v>
      </c>
      <c r="DY5" s="275" t="s">
        <v>467</v>
      </c>
      <c r="DZ5" s="245"/>
      <c r="EA5" s="245"/>
      <c r="EB5" s="245"/>
      <c r="EC5" s="245"/>
      <c r="ED5" s="245"/>
      <c r="EE5" s="87" t="s">
        <v>492</v>
      </c>
      <c r="EF5" s="82" t="s">
        <v>496</v>
      </c>
      <c r="EG5" s="82" t="s">
        <v>467</v>
      </c>
      <c r="EH5" s="245"/>
      <c r="EI5" s="2">
        <v>2037</v>
      </c>
      <c r="EJ5" s="2" t="s">
        <v>497</v>
      </c>
      <c r="EK5" s="2">
        <v>1</v>
      </c>
      <c r="EL5" s="175">
        <f>insumos!H268</f>
        <v>0.65</v>
      </c>
      <c r="EM5" s="245"/>
      <c r="EN5" s="245"/>
    </row>
    <row r="6" spans="1:144" x14ac:dyDescent="0.25">
      <c r="A6" s="245"/>
      <c r="B6" s="278"/>
      <c r="C6" s="279" t="s">
        <v>134</v>
      </c>
      <c r="D6" s="278"/>
      <c r="E6" s="245"/>
      <c r="F6" s="245"/>
      <c r="G6" s="278"/>
      <c r="H6" s="280" t="s">
        <v>134</v>
      </c>
      <c r="I6" s="278"/>
      <c r="J6" s="245"/>
      <c r="K6" s="245"/>
      <c r="L6" s="278"/>
      <c r="M6" s="280" t="s">
        <v>134</v>
      </c>
      <c r="N6" s="278"/>
      <c r="O6" s="245"/>
      <c r="P6" s="245"/>
      <c r="Q6" s="278"/>
      <c r="R6" s="279" t="s">
        <v>134</v>
      </c>
      <c r="S6" s="278"/>
      <c r="T6" s="245"/>
      <c r="U6" s="245"/>
      <c r="V6" s="278"/>
      <c r="W6" s="279" t="s">
        <v>134</v>
      </c>
      <c r="X6" s="278"/>
      <c r="Y6" s="245"/>
      <c r="Z6" s="245"/>
      <c r="AA6" s="278"/>
      <c r="AB6" s="279" t="s">
        <v>134</v>
      </c>
      <c r="AC6" s="278"/>
      <c r="AD6" s="245"/>
      <c r="AE6" s="245"/>
      <c r="AF6" s="278"/>
      <c r="AG6" s="279" t="s">
        <v>134</v>
      </c>
      <c r="AH6" s="278"/>
      <c r="AI6" s="269"/>
      <c r="AJ6" s="245"/>
      <c r="AK6" s="278"/>
      <c r="AL6" s="279" t="s">
        <v>134</v>
      </c>
      <c r="AM6" s="278"/>
      <c r="AN6" s="245"/>
      <c r="AO6" s="245"/>
      <c r="AP6" s="278"/>
      <c r="AQ6" s="279" t="s">
        <v>134</v>
      </c>
      <c r="AR6" s="278"/>
      <c r="AS6" s="269"/>
      <c r="AU6" s="278"/>
      <c r="AV6" s="279" t="s">
        <v>134</v>
      </c>
      <c r="AW6" s="278"/>
      <c r="AX6" s="269"/>
      <c r="AZ6" s="278"/>
      <c r="BA6" s="279" t="s">
        <v>134</v>
      </c>
      <c r="BB6" s="278"/>
      <c r="BC6" s="269"/>
      <c r="BD6" s="245"/>
      <c r="BE6" s="278"/>
      <c r="BF6" s="279" t="s">
        <v>134</v>
      </c>
      <c r="BG6" s="278"/>
      <c r="BH6" s="269"/>
      <c r="BI6" s="245"/>
      <c r="BJ6" s="278"/>
      <c r="BK6" s="279" t="s">
        <v>134</v>
      </c>
      <c r="BL6" s="278"/>
      <c r="BM6" s="245"/>
      <c r="BN6" s="245"/>
      <c r="BO6" s="278"/>
      <c r="BP6" s="279" t="s">
        <v>134</v>
      </c>
      <c r="BQ6" s="278"/>
      <c r="BR6" s="269"/>
      <c r="BS6" s="245"/>
      <c r="BT6" s="278"/>
      <c r="BU6" s="279" t="s">
        <v>134</v>
      </c>
      <c r="BV6" s="278"/>
      <c r="BW6" s="269"/>
      <c r="BX6" s="245"/>
      <c r="BY6" s="278"/>
      <c r="BZ6" s="279" t="s">
        <v>134</v>
      </c>
      <c r="CA6" s="278"/>
      <c r="CB6" s="269"/>
      <c r="CD6" s="278"/>
      <c r="CE6" s="279" t="s">
        <v>134</v>
      </c>
      <c r="CF6" s="278"/>
      <c r="CG6" s="245"/>
      <c r="CH6" s="245"/>
      <c r="CI6" s="278"/>
      <c r="CJ6" s="279" t="s">
        <v>134</v>
      </c>
      <c r="CK6" s="278"/>
      <c r="CL6" s="269"/>
      <c r="CM6" s="245"/>
      <c r="CN6" s="278"/>
      <c r="CO6" s="279" t="s">
        <v>134</v>
      </c>
      <c r="CP6" s="278"/>
      <c r="CQ6" s="245"/>
      <c r="CR6" s="245"/>
      <c r="CS6" s="278"/>
      <c r="CT6" s="279" t="s">
        <v>134</v>
      </c>
      <c r="CU6" s="278"/>
      <c r="CV6" s="245"/>
      <c r="CW6" s="245"/>
      <c r="CX6" s="278"/>
      <c r="CY6" s="280" t="s">
        <v>134</v>
      </c>
      <c r="CZ6" s="278"/>
      <c r="DA6" s="245"/>
      <c r="DB6" s="245"/>
      <c r="DC6" s="278"/>
      <c r="DD6" s="279" t="s">
        <v>134</v>
      </c>
      <c r="DE6" s="278"/>
      <c r="DF6" s="245"/>
      <c r="DG6" s="245"/>
      <c r="DH6" s="278"/>
      <c r="DI6" s="279" t="s">
        <v>134</v>
      </c>
      <c r="DJ6" s="278"/>
      <c r="DK6" s="245"/>
      <c r="DL6" s="245"/>
      <c r="DM6" s="278"/>
      <c r="DN6" s="279" t="s">
        <v>134</v>
      </c>
      <c r="DO6" s="278"/>
      <c r="DP6" s="269"/>
      <c r="DQ6" s="245"/>
      <c r="DR6" s="278"/>
      <c r="DS6" s="280" t="s">
        <v>134</v>
      </c>
      <c r="DT6" s="278"/>
      <c r="DU6" s="245"/>
      <c r="DV6" s="245"/>
      <c r="DW6" s="278"/>
      <c r="DX6" s="280" t="s">
        <v>134</v>
      </c>
      <c r="DY6" s="278"/>
      <c r="DZ6" s="245"/>
      <c r="EA6" s="245"/>
      <c r="EB6" s="245"/>
      <c r="EC6" s="245"/>
      <c r="ED6" s="245"/>
      <c r="EE6" s="2"/>
      <c r="EF6" s="1" t="s">
        <v>498</v>
      </c>
      <c r="EG6" s="85">
        <f>512.4/40.48</f>
        <v>12.65810276679842</v>
      </c>
      <c r="EH6" s="245"/>
      <c r="EI6" s="2">
        <v>6184</v>
      </c>
      <c r="EJ6" s="2" t="s">
        <v>499</v>
      </c>
      <c r="EK6" s="2">
        <v>1</v>
      </c>
      <c r="EL6" s="175">
        <f>insumos!H215</f>
        <v>0.6</v>
      </c>
      <c r="EM6" s="245"/>
      <c r="EN6" s="245"/>
    </row>
    <row r="7" spans="1:144" x14ac:dyDescent="0.25">
      <c r="A7" s="245"/>
      <c r="B7" s="281">
        <v>3741</v>
      </c>
      <c r="C7" s="282" t="s">
        <v>500</v>
      </c>
      <c r="D7" s="283">
        <f>insumos!$G$213</f>
        <v>0.8355871886120997</v>
      </c>
      <c r="E7" s="284"/>
      <c r="F7" s="285"/>
      <c r="G7" s="281">
        <v>5524</v>
      </c>
      <c r="H7" s="1" t="s">
        <v>501</v>
      </c>
      <c r="I7" s="283">
        <f>insumos!$H$217</f>
        <v>0.8950000000000001</v>
      </c>
      <c r="J7" s="285"/>
      <c r="K7" s="285"/>
      <c r="L7" s="281">
        <v>3741</v>
      </c>
      <c r="M7" s="282" t="s">
        <v>500</v>
      </c>
      <c r="N7" s="283">
        <f>insumos!$G$213</f>
        <v>0.8355871886120997</v>
      </c>
      <c r="O7" s="285"/>
      <c r="P7" s="285"/>
      <c r="Q7" s="281">
        <v>6184</v>
      </c>
      <c r="R7" s="1" t="s">
        <v>502</v>
      </c>
      <c r="S7" s="283">
        <f>insumos!$H$215</f>
        <v>0.6</v>
      </c>
      <c r="T7" s="245"/>
      <c r="U7" s="245"/>
      <c r="V7" s="281">
        <v>6184</v>
      </c>
      <c r="W7" s="1" t="s">
        <v>502</v>
      </c>
      <c r="X7" s="283">
        <f>insumos!$H$215</f>
        <v>0.6</v>
      </c>
      <c r="Y7" s="245"/>
      <c r="Z7" s="245"/>
      <c r="AA7" s="281">
        <v>3741</v>
      </c>
      <c r="AB7" s="282" t="s">
        <v>500</v>
      </c>
      <c r="AC7" s="283">
        <f>insumos!$G$213</f>
        <v>0.8355871886120997</v>
      </c>
      <c r="AD7" s="245"/>
      <c r="AE7" s="245"/>
      <c r="AF7" s="281">
        <v>2055</v>
      </c>
      <c r="AG7" s="1" t="s">
        <v>503</v>
      </c>
      <c r="AH7" s="283">
        <f>insumos!$H$266</f>
        <v>1.1500000000000001</v>
      </c>
      <c r="AI7" s="284"/>
      <c r="AJ7" s="245"/>
      <c r="AK7" s="281">
        <v>3741</v>
      </c>
      <c r="AL7" s="1" t="s">
        <v>504</v>
      </c>
      <c r="AM7" s="283">
        <f>insumos!$G$213</f>
        <v>0.8355871886120997</v>
      </c>
      <c r="AN7" s="245"/>
      <c r="AO7" s="245"/>
      <c r="AP7" s="281">
        <v>5524</v>
      </c>
      <c r="AQ7" s="1" t="s">
        <v>501</v>
      </c>
      <c r="AR7" s="283">
        <f>insumos!$H$217</f>
        <v>0.8950000000000001</v>
      </c>
      <c r="AS7" s="284"/>
      <c r="AU7" s="281">
        <v>6184</v>
      </c>
      <c r="AV7" s="30" t="s">
        <v>502</v>
      </c>
      <c r="AW7" s="283">
        <f>insumos!$H$215</f>
        <v>0.6</v>
      </c>
      <c r="AX7" s="284"/>
      <c r="AZ7" s="281">
        <v>3741</v>
      </c>
      <c r="BA7" s="282" t="s">
        <v>500</v>
      </c>
      <c r="BB7" s="283">
        <f>insumos!$G$213</f>
        <v>0.8355871886120997</v>
      </c>
      <c r="BC7" s="284"/>
      <c r="BD7" s="285"/>
      <c r="BE7" s="281">
        <v>3741</v>
      </c>
      <c r="BF7" s="282" t="s">
        <v>500</v>
      </c>
      <c r="BG7" s="283">
        <f>insumos!$G$213</f>
        <v>0.8355871886120997</v>
      </c>
      <c r="BH7" s="284"/>
      <c r="BI7" s="245"/>
      <c r="BJ7" s="281">
        <v>6184</v>
      </c>
      <c r="BK7" s="1" t="s">
        <v>502</v>
      </c>
      <c r="BL7" s="283">
        <f>insumos!$H$215</f>
        <v>0.6</v>
      </c>
      <c r="BM7" s="245"/>
      <c r="BN7" s="245"/>
      <c r="BO7" s="281">
        <v>3741</v>
      </c>
      <c r="BP7" s="282" t="s">
        <v>500</v>
      </c>
      <c r="BQ7" s="283">
        <f>insumos!$G$213</f>
        <v>0.8355871886120997</v>
      </c>
      <c r="BR7" s="284"/>
      <c r="BS7" s="285"/>
      <c r="BT7" s="281">
        <v>3741</v>
      </c>
      <c r="BU7" s="282" t="s">
        <v>500</v>
      </c>
      <c r="BV7" s="283">
        <f>insumos!$G$213</f>
        <v>0.8355871886120997</v>
      </c>
      <c r="BW7" s="284"/>
      <c r="BX7" s="285"/>
      <c r="BY7" s="281">
        <v>6184</v>
      </c>
      <c r="BZ7" s="1" t="s">
        <v>502</v>
      </c>
      <c r="CA7" s="283">
        <f>insumos!$H$215</f>
        <v>0.6</v>
      </c>
      <c r="CB7" s="245"/>
      <c r="CD7" s="281">
        <v>3741</v>
      </c>
      <c r="CE7" s="282" t="s">
        <v>500</v>
      </c>
      <c r="CF7" s="31">
        <f>insumos!$G$213</f>
        <v>0.8355871886120997</v>
      </c>
      <c r="CG7" s="245"/>
      <c r="CH7" s="245"/>
      <c r="CI7" s="281">
        <v>3741</v>
      </c>
      <c r="CJ7" s="282" t="s">
        <v>500</v>
      </c>
      <c r="CK7" s="31">
        <f>insumos!$G$213</f>
        <v>0.8355871886120997</v>
      </c>
      <c r="CL7" s="245"/>
      <c r="CM7" s="245"/>
      <c r="CN7" s="281">
        <v>3741</v>
      </c>
      <c r="CO7" s="282" t="s">
        <v>500</v>
      </c>
      <c r="CP7" s="31">
        <f>insumos!$G$213</f>
        <v>0.8355871886120997</v>
      </c>
      <c r="CQ7" s="245"/>
      <c r="CR7" s="245"/>
      <c r="CS7" s="281">
        <v>3741</v>
      </c>
      <c r="CT7" s="282" t="s">
        <v>500</v>
      </c>
      <c r="CU7" s="31">
        <f>insumos!$G$213</f>
        <v>0.8355871886120997</v>
      </c>
      <c r="CV7" s="245"/>
      <c r="CW7" s="245"/>
      <c r="CX7" s="281">
        <v>3741</v>
      </c>
      <c r="CY7" s="282" t="s">
        <v>500</v>
      </c>
      <c r="CZ7" s="283">
        <f>insumos!$G$213</f>
        <v>0.8355871886120997</v>
      </c>
      <c r="DA7" s="285"/>
      <c r="DB7" s="245"/>
      <c r="DC7" s="281">
        <v>3741</v>
      </c>
      <c r="DD7" s="282" t="s">
        <v>500</v>
      </c>
      <c r="DE7" s="31">
        <f>insumos!$G$213</f>
        <v>0.8355871886120997</v>
      </c>
      <c r="DF7" s="245"/>
      <c r="DG7" s="245"/>
      <c r="DH7" s="281">
        <v>3741</v>
      </c>
      <c r="DI7" s="282" t="s">
        <v>500</v>
      </c>
      <c r="DJ7" s="283">
        <f>insumos!$G$213</f>
        <v>0.8355871886120997</v>
      </c>
      <c r="DK7" s="245"/>
      <c r="DL7" s="245"/>
      <c r="DM7" s="281">
        <v>3741</v>
      </c>
      <c r="DN7" s="282" t="s">
        <v>500</v>
      </c>
      <c r="DO7" s="283">
        <f>insumos!$G$213</f>
        <v>0.8355871886120997</v>
      </c>
      <c r="DP7" s="284"/>
      <c r="DQ7" s="285"/>
      <c r="DR7" s="281">
        <v>5524</v>
      </c>
      <c r="DS7" s="1" t="s">
        <v>501</v>
      </c>
      <c r="DT7" s="283">
        <f>insumos!$H$217</f>
        <v>0.8950000000000001</v>
      </c>
      <c r="DU7" s="285"/>
      <c r="DV7" s="285"/>
      <c r="DW7" s="281">
        <v>5524</v>
      </c>
      <c r="DX7" s="1" t="s">
        <v>501</v>
      </c>
      <c r="DY7" s="283">
        <f>insumos!$H$217</f>
        <v>0.8950000000000001</v>
      </c>
      <c r="DZ7" s="285"/>
      <c r="EA7" s="285"/>
      <c r="EB7" s="285"/>
      <c r="EC7" s="245"/>
      <c r="ED7" s="245"/>
      <c r="EE7" s="2">
        <v>6261</v>
      </c>
      <c r="EF7" s="1" t="s">
        <v>505</v>
      </c>
      <c r="EG7" s="85">
        <f>insumos!H99</f>
        <v>12.25</v>
      </c>
      <c r="EH7" s="245"/>
      <c r="EI7" s="2">
        <v>4542</v>
      </c>
      <c r="EJ7" s="2" t="s">
        <v>506</v>
      </c>
      <c r="EK7" s="2">
        <v>1</v>
      </c>
      <c r="EL7" s="175">
        <f>insumos!I35</f>
        <v>0.022058823529411763</v>
      </c>
      <c r="EM7" s="245"/>
      <c r="EN7" s="245"/>
    </row>
    <row r="8" spans="1:144" x14ac:dyDescent="0.25">
      <c r="A8" s="245"/>
      <c r="B8" s="281">
        <v>3759</v>
      </c>
      <c r="C8" s="1" t="s">
        <v>507</v>
      </c>
      <c r="D8" s="283">
        <f>+insumos!$G$284</f>
        <v>1.1352416613292604</v>
      </c>
      <c r="E8" s="284"/>
      <c r="F8" s="285"/>
      <c r="G8" s="281">
        <v>5523</v>
      </c>
      <c r="H8" s="286" t="s">
        <v>508</v>
      </c>
      <c r="I8" s="283">
        <f>+insumos!$H$285</f>
        <v>1.1829611337771098</v>
      </c>
      <c r="J8" s="285"/>
      <c r="K8" s="285"/>
      <c r="L8" s="26" t="s">
        <v>509</v>
      </c>
      <c r="M8" s="30" t="s">
        <v>510</v>
      </c>
      <c r="N8" s="283">
        <f>+insumos!$H$267</f>
        <v>1.2</v>
      </c>
      <c r="O8" s="285"/>
      <c r="P8" s="285"/>
      <c r="Q8" s="281">
        <v>2037</v>
      </c>
      <c r="R8" s="282" t="s">
        <v>511</v>
      </c>
      <c r="S8" s="283">
        <f>+insumos!$H$268</f>
        <v>0.65</v>
      </c>
      <c r="T8" s="245"/>
      <c r="U8" s="245"/>
      <c r="V8" s="281">
        <v>2037</v>
      </c>
      <c r="W8" s="282" t="s">
        <v>511</v>
      </c>
      <c r="X8" s="283">
        <f>+insumos!$H$268</f>
        <v>0.65</v>
      </c>
      <c r="Y8" s="245"/>
      <c r="Z8" s="245"/>
      <c r="AA8" s="26" t="s">
        <v>509</v>
      </c>
      <c r="AB8" s="30" t="s">
        <v>510</v>
      </c>
      <c r="AC8" s="283">
        <f>+insumos!$H$267</f>
        <v>1.2</v>
      </c>
      <c r="AD8" s="245"/>
      <c r="AE8" s="245"/>
      <c r="AF8" s="281">
        <v>5524</v>
      </c>
      <c r="AG8" s="282" t="s">
        <v>512</v>
      </c>
      <c r="AH8" s="283">
        <f>insumos!$H$217</f>
        <v>0.8950000000000001</v>
      </c>
      <c r="AI8" s="284"/>
      <c r="AJ8" s="245"/>
      <c r="AK8" s="281">
        <v>3759</v>
      </c>
      <c r="AL8" s="30" t="s">
        <v>507</v>
      </c>
      <c r="AM8" s="283">
        <f>+insumos!$G$284</f>
        <v>1.1352416613292604</v>
      </c>
      <c r="AN8" s="245"/>
      <c r="AO8" s="245"/>
      <c r="AP8" s="281">
        <v>5523</v>
      </c>
      <c r="AQ8" s="282" t="s">
        <v>508</v>
      </c>
      <c r="AR8" s="283">
        <f>+insumos!$H$285</f>
        <v>1.1829611337771098</v>
      </c>
      <c r="AS8" s="284"/>
      <c r="AU8" s="26" t="s">
        <v>513</v>
      </c>
      <c r="AV8" s="30" t="s">
        <v>514</v>
      </c>
      <c r="AW8" s="283">
        <f>+insumos!$H$266</f>
        <v>1.1500000000000001</v>
      </c>
      <c r="AX8" s="284"/>
      <c r="AZ8" s="26" t="s">
        <v>515</v>
      </c>
      <c r="BA8" s="30" t="s">
        <v>516</v>
      </c>
      <c r="BB8" s="283">
        <f>+insumos!$G$283</f>
        <v>1.1</v>
      </c>
      <c r="BC8" s="284"/>
      <c r="BD8" s="285"/>
      <c r="BE8" s="26" t="s">
        <v>517</v>
      </c>
      <c r="BF8" s="30" t="s">
        <v>518</v>
      </c>
      <c r="BG8" s="283">
        <f>+insumos!$H$263</f>
        <v>1.6</v>
      </c>
      <c r="BH8" s="284"/>
      <c r="BI8" s="245"/>
      <c r="BJ8" s="281">
        <v>2037</v>
      </c>
      <c r="BK8" s="282" t="s">
        <v>511</v>
      </c>
      <c r="BL8" s="283">
        <f>+insumos!$H$268</f>
        <v>0.65</v>
      </c>
      <c r="BM8" s="245"/>
      <c r="BN8" s="245"/>
      <c r="BO8" s="26" t="s">
        <v>515</v>
      </c>
      <c r="BP8" s="30" t="s">
        <v>516</v>
      </c>
      <c r="BQ8" s="283">
        <f>+insumos!$G$283</f>
        <v>1.1</v>
      </c>
      <c r="BR8" s="284"/>
      <c r="BS8" s="285"/>
      <c r="BT8" s="26" t="s">
        <v>519</v>
      </c>
      <c r="BU8" s="30" t="s">
        <v>520</v>
      </c>
      <c r="BV8" s="283">
        <f>+insumos!$H$279</f>
        <v>1.25</v>
      </c>
      <c r="BW8" s="284"/>
      <c r="BX8" s="285"/>
      <c r="BY8" s="281">
        <v>5523</v>
      </c>
      <c r="BZ8" s="286" t="s">
        <v>508</v>
      </c>
      <c r="CA8" s="283">
        <f>+insumos!$H$285</f>
        <v>1.1829611337771098</v>
      </c>
      <c r="CB8" s="245"/>
      <c r="CD8" s="26" t="s">
        <v>515</v>
      </c>
      <c r="CE8" s="30" t="s">
        <v>516</v>
      </c>
      <c r="CF8" s="283">
        <f>+insumos!$G$283</f>
        <v>1.1</v>
      </c>
      <c r="CG8" s="245"/>
      <c r="CH8" s="245"/>
      <c r="CI8" s="26" t="s">
        <v>521</v>
      </c>
      <c r="CJ8" s="30" t="s">
        <v>522</v>
      </c>
      <c r="CK8" s="31">
        <f>+insumos!$H$274</f>
        <v>1.6</v>
      </c>
      <c r="CL8" s="245"/>
      <c r="CM8" s="245"/>
      <c r="CN8" s="281">
        <v>3759</v>
      </c>
      <c r="CO8" s="1" t="s">
        <v>507</v>
      </c>
      <c r="CP8" s="31">
        <f>+insumos!$G$284</f>
        <v>1.1352416613292604</v>
      </c>
      <c r="CQ8" s="245"/>
      <c r="CR8" s="245"/>
      <c r="CS8" s="281">
        <v>3759</v>
      </c>
      <c r="CT8" s="1" t="s">
        <v>507</v>
      </c>
      <c r="CU8" s="31">
        <f>+insumos!$G$284</f>
        <v>1.1352416613292604</v>
      </c>
      <c r="CV8" s="245"/>
      <c r="CW8" s="245"/>
      <c r="CX8" s="26" t="s">
        <v>509</v>
      </c>
      <c r="CY8" s="30" t="s">
        <v>510</v>
      </c>
      <c r="CZ8" s="283">
        <f>+insumos!$H$267</f>
        <v>1.2</v>
      </c>
      <c r="DA8" s="285"/>
      <c r="DB8" s="245"/>
      <c r="DC8" s="281">
        <v>3759</v>
      </c>
      <c r="DD8" s="282" t="s">
        <v>508</v>
      </c>
      <c r="DE8" s="31">
        <f>+insumos!$G$284</f>
        <v>1.1352416613292604</v>
      </c>
      <c r="DF8" s="245"/>
      <c r="DG8" s="245"/>
      <c r="DH8" s="26" t="s">
        <v>521</v>
      </c>
      <c r="DI8" s="30" t="s">
        <v>522</v>
      </c>
      <c r="DJ8" s="31">
        <f>+insumos!$H$274</f>
        <v>1.6</v>
      </c>
      <c r="DK8" s="245"/>
      <c r="DL8" s="245"/>
      <c r="DM8" s="26">
        <v>6265</v>
      </c>
      <c r="DN8" s="30" t="s">
        <v>520</v>
      </c>
      <c r="DO8" s="283">
        <f>+insumos!$H$279</f>
        <v>1.25</v>
      </c>
      <c r="DP8" s="284"/>
      <c r="DQ8" s="285"/>
      <c r="DR8" s="26" t="s">
        <v>513</v>
      </c>
      <c r="DS8" s="30" t="s">
        <v>514</v>
      </c>
      <c r="DT8" s="283">
        <f>+insumos!$H$266</f>
        <v>1.1500000000000001</v>
      </c>
      <c r="DU8" s="285"/>
      <c r="DV8" s="285"/>
      <c r="DW8" s="26" t="s">
        <v>513</v>
      </c>
      <c r="DX8" s="30" t="s">
        <v>514</v>
      </c>
      <c r="DY8" s="283">
        <f>+insumos!$H$266</f>
        <v>1.1500000000000001</v>
      </c>
      <c r="DZ8" s="285"/>
      <c r="EA8" s="285"/>
      <c r="EB8" s="285"/>
      <c r="EC8" s="245"/>
      <c r="ED8" s="245"/>
      <c r="EE8" s="2">
        <v>6286</v>
      </c>
      <c r="EF8" s="1" t="s">
        <v>523</v>
      </c>
      <c r="EG8" s="85">
        <f>+insumos!H256</f>
        <v>1.24</v>
      </c>
      <c r="EH8" s="245"/>
      <c r="EI8" s="2">
        <v>3817</v>
      </c>
      <c r="EJ8" s="2" t="s">
        <v>524</v>
      </c>
      <c r="EK8" s="2">
        <v>1.8</v>
      </c>
      <c r="EL8" s="175">
        <f>insumos!I103*1.8</f>
        <v>0.02088</v>
      </c>
      <c r="EM8" s="245"/>
      <c r="EN8" s="245"/>
    </row>
    <row r="9" spans="1:144" x14ac:dyDescent="0.25">
      <c r="A9" s="245"/>
      <c r="B9" s="281">
        <v>4653</v>
      </c>
      <c r="C9" s="282" t="s">
        <v>525</v>
      </c>
      <c r="D9" s="283">
        <f>insumos!$H$254*3</f>
        <v>0.5592178831719787</v>
      </c>
      <c r="E9" s="284" t="s">
        <v>526</v>
      </c>
      <c r="F9" s="285"/>
      <c r="G9" s="281">
        <v>4542</v>
      </c>
      <c r="H9" s="286" t="s">
        <v>527</v>
      </c>
      <c r="I9" s="283">
        <f>insumos!$I$35</f>
        <v>0.022058823529411763</v>
      </c>
      <c r="J9" s="285"/>
      <c r="K9" s="285"/>
      <c r="L9" s="281">
        <v>4541</v>
      </c>
      <c r="M9" s="282" t="s">
        <v>528</v>
      </c>
      <c r="N9" s="283">
        <f>insumos!$H$43</f>
        <v>0.022058823529411766</v>
      </c>
      <c r="O9" s="285"/>
      <c r="P9" s="285"/>
      <c r="Q9" s="281">
        <v>4542</v>
      </c>
      <c r="R9" s="282" t="s">
        <v>527</v>
      </c>
      <c r="S9" s="283">
        <f>insumos!$I$35</f>
        <v>0.022058823529411763</v>
      </c>
      <c r="T9" s="245"/>
      <c r="U9" s="245"/>
      <c r="V9" s="281">
        <v>4542</v>
      </c>
      <c r="W9" s="282" t="s">
        <v>527</v>
      </c>
      <c r="X9" s="283">
        <f>insumos!$I$35</f>
        <v>0.022058823529411763</v>
      </c>
      <c r="Y9" s="245"/>
      <c r="Z9" s="245"/>
      <c r="AA9" s="281">
        <v>4541</v>
      </c>
      <c r="AB9" s="282" t="s">
        <v>528</v>
      </c>
      <c r="AC9" s="283">
        <f>insumos!$H$43</f>
        <v>0.022058823529411766</v>
      </c>
      <c r="AD9" s="245"/>
      <c r="AE9" s="245"/>
      <c r="AF9" s="281">
        <v>4542</v>
      </c>
      <c r="AG9" s="282" t="s">
        <v>527</v>
      </c>
      <c r="AH9" s="283">
        <f>insumos!$I$35</f>
        <v>0.022058823529411763</v>
      </c>
      <c r="AI9" s="284"/>
      <c r="AJ9" s="245"/>
      <c r="AK9" s="281">
        <v>4541</v>
      </c>
      <c r="AL9" s="282" t="s">
        <v>529</v>
      </c>
      <c r="AM9" s="283">
        <f>insumos!$H$43</f>
        <v>0.022058823529411766</v>
      </c>
      <c r="AN9" s="245"/>
      <c r="AO9" s="245"/>
      <c r="AP9" s="281">
        <v>4986</v>
      </c>
      <c r="AQ9" s="1" t="s">
        <v>530</v>
      </c>
      <c r="AR9" s="283">
        <f>insumos!$H$255*3</f>
        <v>0.5699996367390061</v>
      </c>
      <c r="AS9" s="284" t="s">
        <v>526</v>
      </c>
      <c r="AU9" s="281">
        <v>4986</v>
      </c>
      <c r="AV9" s="1" t="s">
        <v>530</v>
      </c>
      <c r="AW9" s="283">
        <f>insumos!$H$255*4</f>
        <v>0.7599995156520082</v>
      </c>
      <c r="AX9" s="284" t="s">
        <v>531</v>
      </c>
      <c r="AZ9" s="281">
        <v>4653</v>
      </c>
      <c r="BA9" s="282" t="s">
        <v>525</v>
      </c>
      <c r="BB9" s="283">
        <f>insumos!$H$254*2</f>
        <v>0.37281192211465247</v>
      </c>
      <c r="BC9" s="284" t="s">
        <v>532</v>
      </c>
      <c r="BD9" s="285"/>
      <c r="BE9" s="281">
        <v>4653</v>
      </c>
      <c r="BF9" s="282" t="s">
        <v>525</v>
      </c>
      <c r="BG9" s="283">
        <f>insumos!$H$254*2</f>
        <v>0.37281192211465247</v>
      </c>
      <c r="BH9" s="284" t="s">
        <v>532</v>
      </c>
      <c r="BI9" s="245"/>
      <c r="BJ9" s="26" t="s">
        <v>533</v>
      </c>
      <c r="BK9" s="30" t="s">
        <v>534</v>
      </c>
      <c r="BL9" s="283">
        <f>insumos!$I$33</f>
        <v>0.049999554426770045</v>
      </c>
      <c r="BM9" s="287"/>
      <c r="BN9" s="245"/>
      <c r="BO9" s="281">
        <v>4653</v>
      </c>
      <c r="BP9" s="282" t="s">
        <v>525</v>
      </c>
      <c r="BQ9" s="283">
        <f>insumos!$H$254</f>
        <v>0.18640596105732624</v>
      </c>
      <c r="BR9" s="284"/>
      <c r="BS9" s="285"/>
      <c r="BT9" s="281"/>
      <c r="BU9" s="282"/>
      <c r="BV9" s="283"/>
      <c r="BW9" s="284"/>
      <c r="BX9" s="285"/>
      <c r="BY9" s="281">
        <v>4542</v>
      </c>
      <c r="BZ9" s="286" t="s">
        <v>527</v>
      </c>
      <c r="CA9" s="283">
        <f>insumos!$I$35</f>
        <v>0.022058823529411763</v>
      </c>
      <c r="CB9" s="284"/>
      <c r="CD9" s="281">
        <v>4653</v>
      </c>
      <c r="CE9" s="282" t="s">
        <v>525</v>
      </c>
      <c r="CF9" s="283">
        <f>insumos!$H$254</f>
        <v>0.18640596105732624</v>
      </c>
      <c r="CG9" s="284"/>
      <c r="CH9" s="285"/>
      <c r="CI9" s="281">
        <v>4653</v>
      </c>
      <c r="CJ9" s="282" t="s">
        <v>525</v>
      </c>
      <c r="CK9" s="283">
        <f>insumos!$H$254*3</f>
        <v>0.5592178831719787</v>
      </c>
      <c r="CL9" s="284" t="s">
        <v>526</v>
      </c>
      <c r="CM9" s="285"/>
      <c r="CN9" s="281">
        <v>4653</v>
      </c>
      <c r="CO9" s="282" t="s">
        <v>525</v>
      </c>
      <c r="CP9" s="283">
        <f>insumos!$H$254</f>
        <v>0.18640596105732624</v>
      </c>
      <c r="CQ9" s="284"/>
      <c r="CR9" s="285"/>
      <c r="CS9" s="281">
        <v>4653</v>
      </c>
      <c r="CT9" s="282" t="s">
        <v>525</v>
      </c>
      <c r="CU9" s="283">
        <f>insumos!$H$254</f>
        <v>0.18640596105732624</v>
      </c>
      <c r="CV9" s="284"/>
      <c r="CW9" s="285"/>
      <c r="CX9" s="281">
        <v>4541</v>
      </c>
      <c r="CY9" s="282" t="s">
        <v>528</v>
      </c>
      <c r="CZ9" s="283">
        <f>insumos!$H$43</f>
        <v>0.022058823529411766</v>
      </c>
      <c r="DA9" s="285"/>
      <c r="DB9" s="285"/>
      <c r="DC9" s="281">
        <v>4653</v>
      </c>
      <c r="DD9" s="282" t="s">
        <v>525</v>
      </c>
      <c r="DE9" s="283">
        <f>insumos!$H$254*3</f>
        <v>0.5592178831719787</v>
      </c>
      <c r="DF9" s="284" t="s">
        <v>526</v>
      </c>
      <c r="DG9" s="285"/>
      <c r="DH9" s="281">
        <v>4541</v>
      </c>
      <c r="DI9" s="282" t="s">
        <v>528</v>
      </c>
      <c r="DJ9" s="283">
        <f>insumos!$H$43</f>
        <v>0.022058823529411766</v>
      </c>
      <c r="DK9" s="1"/>
      <c r="DL9" s="285"/>
      <c r="DM9" s="281">
        <v>4653</v>
      </c>
      <c r="DN9" s="282" t="s">
        <v>525</v>
      </c>
      <c r="DO9" s="283">
        <f>insumos!$H$254*3</f>
        <v>0.5592178831719787</v>
      </c>
      <c r="DP9" s="284" t="s">
        <v>526</v>
      </c>
      <c r="DQ9" s="285"/>
      <c r="DR9" s="281">
        <v>4542</v>
      </c>
      <c r="DS9" s="286" t="s">
        <v>527</v>
      </c>
      <c r="DT9" s="283">
        <f>insumos!$I$35</f>
        <v>0.022058823529411763</v>
      </c>
      <c r="DU9" s="285"/>
      <c r="DV9" s="285"/>
      <c r="DW9" s="281">
        <v>4542</v>
      </c>
      <c r="DX9" s="286" t="s">
        <v>527</v>
      </c>
      <c r="DY9" s="283">
        <f>insumos!$I$35</f>
        <v>0.022058823529411763</v>
      </c>
      <c r="DZ9" s="285"/>
      <c r="EA9" s="285"/>
      <c r="EB9" s="285"/>
      <c r="EC9" s="285"/>
      <c r="ED9" s="285"/>
      <c r="EE9" s="2">
        <v>6262</v>
      </c>
      <c r="EF9" s="1" t="s">
        <v>535</v>
      </c>
      <c r="EG9" s="85">
        <v>2.18</v>
      </c>
      <c r="EH9" s="245"/>
      <c r="EI9" s="2">
        <v>2173</v>
      </c>
      <c r="EJ9" s="2" t="s">
        <v>536</v>
      </c>
      <c r="EK9" s="2">
        <v>2</v>
      </c>
      <c r="EL9" s="175">
        <f>+insumos!H149*2</f>
        <v>0.0349502662966019</v>
      </c>
      <c r="EM9" s="245"/>
      <c r="EN9" s="245"/>
    </row>
    <row r="10" spans="1:144" x14ac:dyDescent="0.25">
      <c r="A10" s="245"/>
      <c r="B10" s="281">
        <v>4541</v>
      </c>
      <c r="C10" s="282" t="s">
        <v>528</v>
      </c>
      <c r="D10" s="283">
        <f>insumos!$H$43</f>
        <v>0.022058823529411766</v>
      </c>
      <c r="E10" s="284"/>
      <c r="F10" s="285"/>
      <c r="G10" s="26">
        <v>3817</v>
      </c>
      <c r="H10" s="288" t="s">
        <v>524</v>
      </c>
      <c r="I10" s="289">
        <f>insumos!$I$103*1.8</f>
        <v>0.02088</v>
      </c>
      <c r="J10" s="290" t="s">
        <v>537</v>
      </c>
      <c r="K10" s="290"/>
      <c r="L10" s="26">
        <v>3817</v>
      </c>
      <c r="M10" s="288" t="s">
        <v>524</v>
      </c>
      <c r="N10" s="289">
        <f>insumos!$I$103*1.8</f>
        <v>0.02088</v>
      </c>
      <c r="O10" s="290" t="s">
        <v>537</v>
      </c>
      <c r="P10" s="285"/>
      <c r="Q10" s="26">
        <v>3817</v>
      </c>
      <c r="R10" s="243" t="s">
        <v>524</v>
      </c>
      <c r="S10" s="289">
        <f>insumos!$I$103*1.8</f>
        <v>0.02088</v>
      </c>
      <c r="T10" s="285" t="s">
        <v>538</v>
      </c>
      <c r="U10" s="245"/>
      <c r="V10" s="26">
        <v>3817</v>
      </c>
      <c r="W10" s="243" t="s">
        <v>524</v>
      </c>
      <c r="X10" s="289">
        <f>insumos!$I$103*1.8</f>
        <v>0.02088</v>
      </c>
      <c r="Y10" s="285" t="s">
        <v>538</v>
      </c>
      <c r="Z10" s="245"/>
      <c r="AA10" s="26">
        <v>3817</v>
      </c>
      <c r="AB10" s="288" t="s">
        <v>524</v>
      </c>
      <c r="AC10" s="289">
        <f>insumos!$I$103*1.8</f>
        <v>0.02088</v>
      </c>
      <c r="AD10" s="285" t="s">
        <v>538</v>
      </c>
      <c r="AE10" s="245"/>
      <c r="AF10" s="26">
        <v>3817</v>
      </c>
      <c r="AG10" s="243" t="s">
        <v>524</v>
      </c>
      <c r="AH10" s="289">
        <f>insumos!I103*1.8</f>
        <v>0.02088</v>
      </c>
      <c r="AI10" s="284" t="s">
        <v>537</v>
      </c>
      <c r="AJ10" s="245"/>
      <c r="AK10" s="26">
        <v>3817</v>
      </c>
      <c r="AL10" s="243" t="s">
        <v>524</v>
      </c>
      <c r="AM10" s="289">
        <f>insumos!$I$103*1.8</f>
        <v>0.02088</v>
      </c>
      <c r="AN10" s="285" t="s">
        <v>538</v>
      </c>
      <c r="AO10" s="245"/>
      <c r="AP10" s="281">
        <v>4542</v>
      </c>
      <c r="AQ10" s="282" t="s">
        <v>527</v>
      </c>
      <c r="AR10" s="283">
        <f>insumos!$I$35</f>
        <v>0.022058823529411763</v>
      </c>
      <c r="AS10" s="284"/>
      <c r="AU10" s="281">
        <v>4542</v>
      </c>
      <c r="AV10" s="282" t="s">
        <v>527</v>
      </c>
      <c r="AW10" s="283">
        <f>insumos!$I$35</f>
        <v>0.022058823529411763</v>
      </c>
      <c r="AX10" s="284"/>
      <c r="AZ10" s="26" t="s">
        <v>539</v>
      </c>
      <c r="BA10" s="30" t="s">
        <v>540</v>
      </c>
      <c r="BB10" s="283">
        <f>insumos!$H$45</f>
        <v>0.028</v>
      </c>
      <c r="BC10" s="284"/>
      <c r="BD10" s="285"/>
      <c r="BE10" s="26" t="s">
        <v>541</v>
      </c>
      <c r="BF10" s="30" t="s">
        <v>542</v>
      </c>
      <c r="BG10" s="283">
        <f>insumos!$H$50</f>
        <v>0.027941176470588237</v>
      </c>
      <c r="BH10" s="284"/>
      <c r="BI10" s="245"/>
      <c r="BJ10" s="26">
        <v>3817</v>
      </c>
      <c r="BK10" s="243" t="s">
        <v>524</v>
      </c>
      <c r="BL10" s="289">
        <f>insumos!$I$103*1.8</f>
        <v>0.02088</v>
      </c>
      <c r="BM10" s="285" t="s">
        <v>538</v>
      </c>
      <c r="BN10" s="245"/>
      <c r="BO10" s="26" t="s">
        <v>539</v>
      </c>
      <c r="BP10" s="30" t="s">
        <v>540</v>
      </c>
      <c r="BQ10" s="283">
        <f>insumos!$H$45</f>
        <v>0.028</v>
      </c>
      <c r="BR10" s="284"/>
      <c r="BS10" s="285"/>
      <c r="BT10" s="26" t="s">
        <v>543</v>
      </c>
      <c r="BU10" s="30" t="s">
        <v>544</v>
      </c>
      <c r="BV10" s="283">
        <f>insumos!$H$44</f>
        <v>0.028</v>
      </c>
      <c r="BW10" s="284"/>
      <c r="BX10" s="285"/>
      <c r="BY10" s="281">
        <v>4986</v>
      </c>
      <c r="BZ10" s="1" t="s">
        <v>530</v>
      </c>
      <c r="CA10" s="283">
        <f>insumos!$H$255*4</f>
        <v>0.7599995156520082</v>
      </c>
      <c r="CB10" s="284" t="s">
        <v>531</v>
      </c>
      <c r="CD10" s="26" t="s">
        <v>539</v>
      </c>
      <c r="CE10" s="30" t="s">
        <v>540</v>
      </c>
      <c r="CF10" s="283">
        <f>insumos!$H$45</f>
        <v>0.028</v>
      </c>
      <c r="CG10" s="245"/>
      <c r="CH10" s="245"/>
      <c r="CI10" s="281">
        <v>4541</v>
      </c>
      <c r="CJ10" s="282" t="s">
        <v>529</v>
      </c>
      <c r="CK10" s="283">
        <f>insumos!$H$43</f>
        <v>0.022058823529411766</v>
      </c>
      <c r="CL10" s="245"/>
      <c r="CM10" s="245"/>
      <c r="CN10" s="281">
        <v>4541</v>
      </c>
      <c r="CO10" s="282" t="s">
        <v>529</v>
      </c>
      <c r="CP10" s="283">
        <f>insumos!$H$43</f>
        <v>0.022058823529411766</v>
      </c>
      <c r="CQ10" s="245"/>
      <c r="CR10" s="245"/>
      <c r="CS10" s="281">
        <v>4541</v>
      </c>
      <c r="CT10" s="282" t="s">
        <v>529</v>
      </c>
      <c r="CU10" s="283">
        <f>insumos!$H$43</f>
        <v>0.022058823529411766</v>
      </c>
      <c r="CV10" s="245"/>
      <c r="CW10" s="245"/>
      <c r="CX10" s="26">
        <v>3817</v>
      </c>
      <c r="CY10" s="288" t="s">
        <v>524</v>
      </c>
      <c r="CZ10" s="289">
        <f>insumos!$I$103*1.8</f>
        <v>0.02088</v>
      </c>
      <c r="DA10" s="290" t="s">
        <v>537</v>
      </c>
      <c r="DB10" s="245"/>
      <c r="DC10" s="281">
        <v>4541</v>
      </c>
      <c r="DD10" s="282" t="s">
        <v>529</v>
      </c>
      <c r="DE10" s="283">
        <f>insumos!$H$43</f>
        <v>0.022058823529411766</v>
      </c>
      <c r="DF10" s="245"/>
      <c r="DG10" s="245"/>
      <c r="DH10" s="26">
        <v>3817</v>
      </c>
      <c r="DI10" s="243" t="s">
        <v>524</v>
      </c>
      <c r="DJ10" s="289">
        <f>insumos!$I$103*1.8</f>
        <v>0.02088</v>
      </c>
      <c r="DK10" s="285" t="s">
        <v>538</v>
      </c>
      <c r="DL10" s="245"/>
      <c r="DM10" s="26">
        <v>5353</v>
      </c>
      <c r="DN10" s="30" t="s">
        <v>544</v>
      </c>
      <c r="DO10" s="283">
        <f>insumos!$H$44</f>
        <v>0.028</v>
      </c>
      <c r="DP10" s="284"/>
      <c r="DQ10" s="285"/>
      <c r="DR10" s="26">
        <v>3817</v>
      </c>
      <c r="DS10" s="288" t="s">
        <v>524</v>
      </c>
      <c r="DT10" s="289">
        <f>insumos!$I$103*1.8</f>
        <v>0.02088</v>
      </c>
      <c r="DU10" s="290" t="s">
        <v>537</v>
      </c>
      <c r="DV10" s="290"/>
      <c r="DW10" s="26">
        <v>3817</v>
      </c>
      <c r="DX10" s="288" t="s">
        <v>524</v>
      </c>
      <c r="DY10" s="289">
        <f>insumos!$I$103*1.8</f>
        <v>0.02088</v>
      </c>
      <c r="DZ10" s="290" t="s">
        <v>537</v>
      </c>
      <c r="EA10" s="290"/>
      <c r="EB10" s="285"/>
      <c r="EC10" s="245"/>
      <c r="ED10" s="245"/>
      <c r="EE10" s="2">
        <v>5383</v>
      </c>
      <c r="EF10" s="1" t="s">
        <v>545</v>
      </c>
      <c r="EG10" s="85">
        <v>0.0168</v>
      </c>
      <c r="EH10" s="245"/>
      <c r="EI10" s="2">
        <v>2923</v>
      </c>
      <c r="EJ10" s="2" t="s">
        <v>546</v>
      </c>
      <c r="EK10" s="1"/>
      <c r="EL10" s="175">
        <f>+insumos!I202*0.16</f>
        <v>0.09</v>
      </c>
      <c r="EM10" s="245"/>
      <c r="EN10" s="245"/>
    </row>
    <row r="11" spans="1:144" x14ac:dyDescent="0.25">
      <c r="A11" s="245"/>
      <c r="B11" s="26">
        <v>3817</v>
      </c>
      <c r="C11" s="243" t="s">
        <v>524</v>
      </c>
      <c r="D11" s="289">
        <f>insumos!$I$103*1.8</f>
        <v>0.02088</v>
      </c>
      <c r="E11" s="290" t="s">
        <v>537</v>
      </c>
      <c r="F11" s="290"/>
      <c r="G11" s="26">
        <v>2173</v>
      </c>
      <c r="H11" s="288" t="s">
        <v>536</v>
      </c>
      <c r="I11" s="289">
        <f>+insumos!$H$149*2</f>
        <v>0.0349502662966019</v>
      </c>
      <c r="J11" s="291" t="s">
        <v>547</v>
      </c>
      <c r="K11" s="291"/>
      <c r="L11" s="26">
        <v>2173</v>
      </c>
      <c r="M11" s="288" t="s">
        <v>536</v>
      </c>
      <c r="N11" s="289">
        <f>+insumos!$H$149*2</f>
        <v>0.0349502662966019</v>
      </c>
      <c r="O11" s="291" t="s">
        <v>547</v>
      </c>
      <c r="P11" s="290"/>
      <c r="Q11" s="26">
        <v>2173</v>
      </c>
      <c r="R11" s="243" t="s">
        <v>536</v>
      </c>
      <c r="S11" s="289">
        <f>+insumos!$H$149*2</f>
        <v>0.0349502662966019</v>
      </c>
      <c r="T11" s="1" t="s">
        <v>547</v>
      </c>
      <c r="U11" s="245"/>
      <c r="V11" s="26">
        <v>2173</v>
      </c>
      <c r="W11" s="243" t="s">
        <v>536</v>
      </c>
      <c r="X11" s="289">
        <f>+insumos!$H$149*2</f>
        <v>0.0349502662966019</v>
      </c>
      <c r="Y11" s="1" t="s">
        <v>547</v>
      </c>
      <c r="Z11" s="245"/>
      <c r="AA11" s="26">
        <v>2173</v>
      </c>
      <c r="AB11" s="288" t="s">
        <v>536</v>
      </c>
      <c r="AC11" s="289">
        <f>+insumos!$H$149*2</f>
        <v>0.0349502662966019</v>
      </c>
      <c r="AD11" s="1" t="s">
        <v>547</v>
      </c>
      <c r="AE11" s="245"/>
      <c r="AF11" s="26">
        <v>2173</v>
      </c>
      <c r="AG11" s="243" t="s">
        <v>536</v>
      </c>
      <c r="AH11" s="289">
        <f>+insumos!H149*2</f>
        <v>0.0349502662966019</v>
      </c>
      <c r="AI11" s="290" t="s">
        <v>547</v>
      </c>
      <c r="AJ11" s="245"/>
      <c r="AK11" s="26">
        <v>2173</v>
      </c>
      <c r="AL11" s="243" t="s">
        <v>536</v>
      </c>
      <c r="AM11" s="289">
        <f>+insumos!$H$149*2</f>
        <v>0.0349502662966019</v>
      </c>
      <c r="AN11" s="1" t="s">
        <v>547</v>
      </c>
      <c r="AO11" s="245"/>
      <c r="AP11" s="26">
        <v>3817</v>
      </c>
      <c r="AQ11" s="243" t="s">
        <v>524</v>
      </c>
      <c r="AR11" s="289">
        <f>insumos!$I$103*1.8</f>
        <v>0.02088</v>
      </c>
      <c r="AS11" s="290" t="s">
        <v>537</v>
      </c>
      <c r="AU11" s="26">
        <v>3817</v>
      </c>
      <c r="AV11" s="243" t="s">
        <v>524</v>
      </c>
      <c r="AW11" s="289">
        <f>insumos!$I$103*1.8</f>
        <v>0.02088</v>
      </c>
      <c r="AX11" s="290" t="s">
        <v>537</v>
      </c>
      <c r="AZ11" s="26">
        <v>3817</v>
      </c>
      <c r="BA11" s="243" t="s">
        <v>524</v>
      </c>
      <c r="BB11" s="289">
        <f>insumos!$I$103*1.8</f>
        <v>0.02088</v>
      </c>
      <c r="BC11" s="290" t="s">
        <v>537</v>
      </c>
      <c r="BD11" s="290"/>
      <c r="BE11" s="26">
        <v>3817</v>
      </c>
      <c r="BF11" s="243" t="s">
        <v>524</v>
      </c>
      <c r="BG11" s="289">
        <f>insumos!$I$103*1.8</f>
        <v>0.02088</v>
      </c>
      <c r="BH11" s="290" t="s">
        <v>537</v>
      </c>
      <c r="BI11" s="245"/>
      <c r="BJ11" s="26">
        <v>2173</v>
      </c>
      <c r="BK11" s="243" t="s">
        <v>536</v>
      </c>
      <c r="BL11" s="289">
        <f>+insumos!$H$149*2</f>
        <v>0.0349502662966019</v>
      </c>
      <c r="BM11" s="1" t="s">
        <v>547</v>
      </c>
      <c r="BN11" s="245"/>
      <c r="BO11" s="26">
        <v>3817</v>
      </c>
      <c r="BP11" s="243" t="s">
        <v>524</v>
      </c>
      <c r="BQ11" s="289">
        <f>insumos!$I$103*1.8</f>
        <v>0.02088</v>
      </c>
      <c r="BR11" s="290" t="s">
        <v>537</v>
      </c>
      <c r="BS11" s="290"/>
      <c r="BT11" s="26">
        <v>3817</v>
      </c>
      <c r="BU11" s="243" t="s">
        <v>524</v>
      </c>
      <c r="BV11" s="289">
        <f>insumos!$I$103*1.8</f>
        <v>0.02088</v>
      </c>
      <c r="BW11" s="290" t="s">
        <v>537</v>
      </c>
      <c r="BX11" s="290"/>
      <c r="BY11" s="26">
        <v>3817</v>
      </c>
      <c r="BZ11" s="243" t="s">
        <v>524</v>
      </c>
      <c r="CA11" s="289">
        <f>insumos!$I$103*1.8</f>
        <v>0.02088</v>
      </c>
      <c r="CB11" s="1" t="s">
        <v>538</v>
      </c>
      <c r="CD11" s="26">
        <v>3817</v>
      </c>
      <c r="CE11" s="243" t="s">
        <v>524</v>
      </c>
      <c r="CF11" s="289">
        <f>insumos!$I$103*1.8</f>
        <v>0.02088</v>
      </c>
      <c r="CG11" s="1" t="s">
        <v>538</v>
      </c>
      <c r="CH11" s="1"/>
      <c r="CI11" s="26">
        <v>3817</v>
      </c>
      <c r="CJ11" s="243" t="s">
        <v>524</v>
      </c>
      <c r="CK11" s="289">
        <f>insumos!$I$103*1.8</f>
        <v>0.02088</v>
      </c>
      <c r="CL11" s="1" t="s">
        <v>538</v>
      </c>
      <c r="CM11" s="1"/>
      <c r="CN11" s="26">
        <v>3817</v>
      </c>
      <c r="CO11" s="243" t="s">
        <v>524</v>
      </c>
      <c r="CP11" s="289">
        <f>insumos!$I$103*1.8</f>
        <v>0.02088</v>
      </c>
      <c r="CQ11" s="1" t="s">
        <v>538</v>
      </c>
      <c r="CR11" s="1"/>
      <c r="CS11" s="26">
        <v>3817</v>
      </c>
      <c r="CT11" s="243" t="s">
        <v>524</v>
      </c>
      <c r="CU11" s="289">
        <f>insumos!$I$103*1.8</f>
        <v>0.02088</v>
      </c>
      <c r="CV11" s="1" t="s">
        <v>538</v>
      </c>
      <c r="CW11" s="1"/>
      <c r="CX11" s="26">
        <v>2173</v>
      </c>
      <c r="CY11" s="288" t="s">
        <v>536</v>
      </c>
      <c r="CZ11" s="289">
        <f>+insumos!$H$149*2</f>
        <v>0.0349502662966019</v>
      </c>
      <c r="DA11" s="291" t="s">
        <v>547</v>
      </c>
      <c r="DB11" s="1"/>
      <c r="DC11" s="26">
        <v>3817</v>
      </c>
      <c r="DD11" s="243" t="s">
        <v>524</v>
      </c>
      <c r="DE11" s="289">
        <f>insumos!$I$103*1.8</f>
        <v>0.02088</v>
      </c>
      <c r="DF11" s="1" t="s">
        <v>538</v>
      </c>
      <c r="DG11" s="1"/>
      <c r="DH11" s="26">
        <v>2173</v>
      </c>
      <c r="DI11" s="243" t="s">
        <v>536</v>
      </c>
      <c r="DJ11" s="289">
        <f>+insumos!$H$149*2</f>
        <v>0.0349502662966019</v>
      </c>
      <c r="DK11" s="1" t="s">
        <v>547</v>
      </c>
      <c r="DL11" s="1"/>
      <c r="DM11" s="26">
        <v>3817</v>
      </c>
      <c r="DN11" s="243" t="s">
        <v>524</v>
      </c>
      <c r="DO11" s="289">
        <f>insumos!$I$103*1.8</f>
        <v>0.02088</v>
      </c>
      <c r="DP11" s="290" t="s">
        <v>537</v>
      </c>
      <c r="DQ11" s="290"/>
      <c r="DR11" s="26">
        <v>2173</v>
      </c>
      <c r="DS11" s="288" t="s">
        <v>536</v>
      </c>
      <c r="DT11" s="289">
        <f>+insumos!$H$149*2</f>
        <v>0.0349502662966019</v>
      </c>
      <c r="DU11" s="291" t="s">
        <v>547</v>
      </c>
      <c r="DV11" s="291"/>
      <c r="DW11" s="26">
        <v>2173</v>
      </c>
      <c r="DX11" s="288" t="s">
        <v>536</v>
      </c>
      <c r="DY11" s="289">
        <f>+insumos!$H$149*2</f>
        <v>0.0349502662966019</v>
      </c>
      <c r="DZ11" s="291" t="s">
        <v>547</v>
      </c>
      <c r="EA11" s="291"/>
      <c r="EB11" s="290"/>
      <c r="EC11" s="1"/>
      <c r="ED11" s="1"/>
      <c r="EE11" s="2">
        <v>2173</v>
      </c>
      <c r="EF11" s="1" t="s">
        <v>548</v>
      </c>
      <c r="EG11" s="85">
        <v>0.0167</v>
      </c>
      <c r="EH11" s="245"/>
      <c r="EI11" s="2">
        <v>2445</v>
      </c>
      <c r="EJ11" s="2" t="s">
        <v>549</v>
      </c>
      <c r="EK11" s="2">
        <v>1</v>
      </c>
      <c r="EL11" s="175">
        <f>(440/40.48)/(30*20)</f>
        <v>0.018115942028985508</v>
      </c>
      <c r="EM11" s="245"/>
      <c r="EN11" s="245"/>
    </row>
    <row r="12" spans="1:144" x14ac:dyDescent="0.25">
      <c r="A12" s="245"/>
      <c r="B12" s="26">
        <v>2173</v>
      </c>
      <c r="C12" s="243" t="s">
        <v>536</v>
      </c>
      <c r="D12" s="289">
        <f>+insumos!$H$149*2</f>
        <v>0.0349502662966019</v>
      </c>
      <c r="E12" s="291" t="s">
        <v>547</v>
      </c>
      <c r="F12" s="291"/>
      <c r="G12" s="281">
        <v>3636</v>
      </c>
      <c r="H12" s="286" t="s">
        <v>550</v>
      </c>
      <c r="I12" s="283">
        <f>+insumos!$H$121</f>
        <v>0.0445</v>
      </c>
      <c r="J12" s="285"/>
      <c r="K12" s="285"/>
      <c r="L12" s="281">
        <v>3636</v>
      </c>
      <c r="M12" s="286" t="s">
        <v>550</v>
      </c>
      <c r="N12" s="283">
        <f>+insumos!$H$121</f>
        <v>0.0445</v>
      </c>
      <c r="O12" s="285"/>
      <c r="P12" s="291"/>
      <c r="Q12" s="281">
        <v>3636</v>
      </c>
      <c r="R12" s="282" t="s">
        <v>550</v>
      </c>
      <c r="S12" s="283">
        <f>+insumos!$H$121</f>
        <v>0.0445</v>
      </c>
      <c r="T12" s="245"/>
      <c r="U12" s="245"/>
      <c r="V12" s="281">
        <v>3636</v>
      </c>
      <c r="W12" s="282" t="s">
        <v>550</v>
      </c>
      <c r="X12" s="283">
        <f>+insumos!$H$121</f>
        <v>0.0445</v>
      </c>
      <c r="Y12" s="245"/>
      <c r="Z12" s="245"/>
      <c r="AA12" s="281">
        <v>3636</v>
      </c>
      <c r="AB12" s="286" t="s">
        <v>550</v>
      </c>
      <c r="AC12" s="283">
        <f>+insumos!$H$121</f>
        <v>0.0445</v>
      </c>
      <c r="AD12" s="245"/>
      <c r="AE12" s="245"/>
      <c r="AF12" s="281">
        <v>3636</v>
      </c>
      <c r="AG12" s="282" t="s">
        <v>550</v>
      </c>
      <c r="AH12" s="283">
        <f>+insumos!H121</f>
        <v>0.0445</v>
      </c>
      <c r="AI12" s="291"/>
      <c r="AJ12" s="245"/>
      <c r="AK12" s="281">
        <v>3636</v>
      </c>
      <c r="AL12" s="282" t="s">
        <v>550</v>
      </c>
      <c r="AM12" s="283">
        <f>+insumos!$H$121</f>
        <v>0.0445</v>
      </c>
      <c r="AN12" s="245"/>
      <c r="AO12" s="245"/>
      <c r="AP12" s="26">
        <v>2173</v>
      </c>
      <c r="AQ12" s="243" t="s">
        <v>536</v>
      </c>
      <c r="AR12" s="289">
        <f>+insumos!$H$149*2</f>
        <v>0.0349502662966019</v>
      </c>
      <c r="AS12" s="291" t="s">
        <v>547</v>
      </c>
      <c r="AU12" s="26">
        <v>2173</v>
      </c>
      <c r="AV12" s="243" t="s">
        <v>536</v>
      </c>
      <c r="AW12" s="289">
        <f>+insumos!$H$149*2</f>
        <v>0.0349502662966019</v>
      </c>
      <c r="AX12" s="291" t="s">
        <v>547</v>
      </c>
      <c r="AZ12" s="26">
        <v>2173</v>
      </c>
      <c r="BA12" s="243" t="s">
        <v>536</v>
      </c>
      <c r="BB12" s="289">
        <f>+insumos!$H$149*2</f>
        <v>0.0349502662966019</v>
      </c>
      <c r="BC12" s="291" t="s">
        <v>547</v>
      </c>
      <c r="BD12" s="291"/>
      <c r="BE12" s="26">
        <v>2173</v>
      </c>
      <c r="BF12" s="243" t="s">
        <v>536</v>
      </c>
      <c r="BG12" s="289">
        <f>+insumos!$H$149*2</f>
        <v>0.0349502662966019</v>
      </c>
      <c r="BH12" s="291" t="s">
        <v>547</v>
      </c>
      <c r="BI12" s="245"/>
      <c r="BJ12" s="281">
        <v>3636</v>
      </c>
      <c r="BK12" s="282" t="s">
        <v>550</v>
      </c>
      <c r="BL12" s="283">
        <f>+insumos!$H$121</f>
        <v>0.0445</v>
      </c>
      <c r="BM12" s="245"/>
      <c r="BN12" s="245"/>
      <c r="BO12" s="26">
        <v>2173</v>
      </c>
      <c r="BP12" s="243" t="s">
        <v>536</v>
      </c>
      <c r="BQ12" s="289">
        <f>+insumos!$H$149*2</f>
        <v>0.0349502662966019</v>
      </c>
      <c r="BR12" s="291" t="s">
        <v>547</v>
      </c>
      <c r="BS12" s="291"/>
      <c r="BT12" s="26">
        <v>2173</v>
      </c>
      <c r="BU12" s="243" t="s">
        <v>536</v>
      </c>
      <c r="BV12" s="289">
        <f>+insumos!$H$149*2</f>
        <v>0.0349502662966019</v>
      </c>
      <c r="BW12" s="291" t="s">
        <v>547</v>
      </c>
      <c r="BX12" s="291"/>
      <c r="BY12" s="26">
        <v>2173</v>
      </c>
      <c r="BZ12" s="243" t="s">
        <v>536</v>
      </c>
      <c r="CA12" s="289">
        <f>+insumos!$H$149*2</f>
        <v>0.0349502662966019</v>
      </c>
      <c r="CB12" s="1" t="s">
        <v>547</v>
      </c>
      <c r="CD12" s="26">
        <v>2173</v>
      </c>
      <c r="CE12" s="243" t="s">
        <v>536</v>
      </c>
      <c r="CF12" s="289">
        <f>+insumos!$H$149*2</f>
        <v>0.0349502662966019</v>
      </c>
      <c r="CG12" s="1" t="s">
        <v>547</v>
      </c>
      <c r="CH12" s="1"/>
      <c r="CI12" s="26">
        <v>2173</v>
      </c>
      <c r="CJ12" s="243" t="s">
        <v>536</v>
      </c>
      <c r="CK12" s="289">
        <f>+insumos!$H$149*2</f>
        <v>0.0349502662966019</v>
      </c>
      <c r="CL12" s="1" t="s">
        <v>547</v>
      </c>
      <c r="CM12" s="1"/>
      <c r="CN12" s="26">
        <v>2173</v>
      </c>
      <c r="CO12" s="243" t="s">
        <v>536</v>
      </c>
      <c r="CP12" s="289">
        <f>+insumos!$H$149*2</f>
        <v>0.0349502662966019</v>
      </c>
      <c r="CQ12" s="1" t="s">
        <v>547</v>
      </c>
      <c r="CR12" s="1"/>
      <c r="CS12" s="26">
        <v>2173</v>
      </c>
      <c r="CT12" s="243" t="s">
        <v>536</v>
      </c>
      <c r="CU12" s="289">
        <f>+insumos!$H$149*2</f>
        <v>0.0349502662966019</v>
      </c>
      <c r="CV12" s="1" t="s">
        <v>547</v>
      </c>
      <c r="CW12" s="1"/>
      <c r="CX12" s="281">
        <v>3636</v>
      </c>
      <c r="CY12" s="286" t="s">
        <v>550</v>
      </c>
      <c r="CZ12" s="283">
        <f>+insumos!$H$121</f>
        <v>0.0445</v>
      </c>
      <c r="DA12" s="285"/>
      <c r="DB12" s="1"/>
      <c r="DC12" s="26">
        <v>2173</v>
      </c>
      <c r="DD12" s="243" t="s">
        <v>536</v>
      </c>
      <c r="DE12" s="289">
        <f>+insumos!$H$149*2</f>
        <v>0.0349502662966019</v>
      </c>
      <c r="DF12" s="1" t="s">
        <v>547</v>
      </c>
      <c r="DG12" s="1"/>
      <c r="DH12" s="281">
        <v>3636</v>
      </c>
      <c r="DI12" s="282" t="s">
        <v>550</v>
      </c>
      <c r="DJ12" s="283">
        <f>+insumos!$H$121</f>
        <v>0.0445</v>
      </c>
      <c r="DK12" s="245"/>
      <c r="DL12" s="1"/>
      <c r="DM12" s="26">
        <v>2173</v>
      </c>
      <c r="DN12" s="243" t="s">
        <v>536</v>
      </c>
      <c r="DO12" s="289">
        <f>+insumos!$H$149*2</f>
        <v>0.0349502662966019</v>
      </c>
      <c r="DP12" s="291" t="s">
        <v>547</v>
      </c>
      <c r="DQ12" s="291"/>
      <c r="DR12" s="281">
        <v>3636</v>
      </c>
      <c r="DS12" s="286" t="s">
        <v>550</v>
      </c>
      <c r="DT12" s="283">
        <f>+insumos!$H$121</f>
        <v>0.0445</v>
      </c>
      <c r="DU12" s="285"/>
      <c r="DV12" s="285"/>
      <c r="DW12" s="281">
        <v>3636</v>
      </c>
      <c r="DX12" s="286" t="s">
        <v>550</v>
      </c>
      <c r="DY12" s="283">
        <f>+insumos!$H$121</f>
        <v>0.0445</v>
      </c>
      <c r="DZ12" s="285"/>
      <c r="EA12" s="285"/>
      <c r="EB12" s="291"/>
      <c r="EC12" s="1"/>
      <c r="ED12" s="1"/>
      <c r="EE12" s="2">
        <v>6268</v>
      </c>
      <c r="EF12" s="1" t="s">
        <v>551</v>
      </c>
      <c r="EG12" s="85">
        <f>0.0245*35</f>
        <v>0.8575</v>
      </c>
      <c r="EH12" s="245"/>
      <c r="EI12" s="2">
        <v>2119</v>
      </c>
      <c r="EJ12" s="2" t="s">
        <v>552</v>
      </c>
      <c r="EK12" s="2">
        <v>2</v>
      </c>
      <c r="EL12" s="175">
        <f>insumos!I224*2</f>
        <v>0</v>
      </c>
      <c r="EM12" s="245"/>
      <c r="EN12" s="245"/>
    </row>
    <row r="13" spans="1:144" x14ac:dyDescent="0.25">
      <c r="A13" s="245"/>
      <c r="B13" s="281">
        <v>3636</v>
      </c>
      <c r="C13" s="282" t="s">
        <v>550</v>
      </c>
      <c r="D13" s="283">
        <f>+insumos!$H$121</f>
        <v>0.0445</v>
      </c>
      <c r="E13" s="284"/>
      <c r="F13" s="285"/>
      <c r="G13" s="292"/>
      <c r="H13" s="280" t="s">
        <v>553</v>
      </c>
      <c r="I13" s="293"/>
      <c r="J13" s="285"/>
      <c r="K13" s="285"/>
      <c r="L13" s="292"/>
      <c r="M13" s="280" t="s">
        <v>553</v>
      </c>
      <c r="N13" s="293"/>
      <c r="O13" s="285"/>
      <c r="P13" s="285"/>
      <c r="Q13" s="292"/>
      <c r="R13" s="279" t="s">
        <v>553</v>
      </c>
      <c r="S13" s="293"/>
      <c r="T13" s="245"/>
      <c r="U13" s="245"/>
      <c r="V13" s="292"/>
      <c r="W13" s="279" t="s">
        <v>553</v>
      </c>
      <c r="X13" s="293"/>
      <c r="Y13" s="245"/>
      <c r="Z13" s="245"/>
      <c r="AA13" s="292"/>
      <c r="AB13" s="279" t="s">
        <v>553</v>
      </c>
      <c r="AC13" s="293"/>
      <c r="AD13" s="245"/>
      <c r="AE13" s="245"/>
      <c r="AF13" s="292"/>
      <c r="AG13" s="279" t="s">
        <v>553</v>
      </c>
      <c r="AH13" s="293"/>
      <c r="AI13" s="284"/>
      <c r="AJ13" s="245"/>
      <c r="AK13" s="292"/>
      <c r="AL13" s="279" t="s">
        <v>553</v>
      </c>
      <c r="AM13" s="293"/>
      <c r="AN13" s="245"/>
      <c r="AO13" s="245"/>
      <c r="AP13" s="281">
        <v>3636</v>
      </c>
      <c r="AQ13" s="282" t="s">
        <v>550</v>
      </c>
      <c r="AR13" s="283">
        <f>+insumos!$H$121</f>
        <v>0.0445</v>
      </c>
      <c r="AS13" s="284"/>
      <c r="AU13" s="281">
        <v>3636</v>
      </c>
      <c r="AV13" s="282" t="s">
        <v>550</v>
      </c>
      <c r="AW13" s="283">
        <f>+insumos!$H$121</f>
        <v>0.0445</v>
      </c>
      <c r="AX13" s="284"/>
      <c r="AZ13" s="281">
        <v>3636</v>
      </c>
      <c r="BA13" s="282" t="s">
        <v>550</v>
      </c>
      <c r="BB13" s="283">
        <f>+insumos!$H$121</f>
        <v>0.0445</v>
      </c>
      <c r="BC13" s="284"/>
      <c r="BD13" s="285"/>
      <c r="BE13" s="281">
        <v>3636</v>
      </c>
      <c r="BF13" s="282" t="s">
        <v>550</v>
      </c>
      <c r="BG13" s="283">
        <f>+insumos!$H$121</f>
        <v>0.0445</v>
      </c>
      <c r="BH13" s="284"/>
      <c r="BI13" s="245"/>
      <c r="BJ13" s="292"/>
      <c r="BK13" s="279" t="s">
        <v>553</v>
      </c>
      <c r="BL13" s="293"/>
      <c r="BM13" s="245"/>
      <c r="BN13" s="245"/>
      <c r="BO13" s="281">
        <v>3636</v>
      </c>
      <c r="BP13" s="282" t="s">
        <v>550</v>
      </c>
      <c r="BQ13" s="283">
        <f>+insumos!$H$121</f>
        <v>0.0445</v>
      </c>
      <c r="BR13" s="284"/>
      <c r="BS13" s="285"/>
      <c r="BT13" s="281">
        <v>3636</v>
      </c>
      <c r="BU13" s="282" t="s">
        <v>550</v>
      </c>
      <c r="BV13" s="283">
        <f>+insumos!$H$121</f>
        <v>0.0445</v>
      </c>
      <c r="BW13" s="284"/>
      <c r="BX13" s="285"/>
      <c r="BY13" s="281">
        <v>3636</v>
      </c>
      <c r="BZ13" s="282" t="s">
        <v>550</v>
      </c>
      <c r="CA13" s="283">
        <f>+insumos!$H$121</f>
        <v>0.0445</v>
      </c>
      <c r="CD13" s="281">
        <v>3636</v>
      </c>
      <c r="CE13" s="282" t="s">
        <v>550</v>
      </c>
      <c r="CF13" s="283">
        <f>+insumos!$H$121</f>
        <v>0.0445</v>
      </c>
      <c r="CI13" s="281">
        <v>3636</v>
      </c>
      <c r="CJ13" s="282" t="s">
        <v>550</v>
      </c>
      <c r="CK13" s="283">
        <f>+insumos!$H$121</f>
        <v>0.0445</v>
      </c>
      <c r="CN13" s="281">
        <v>3636</v>
      </c>
      <c r="CO13" s="282" t="s">
        <v>550</v>
      </c>
      <c r="CP13" s="283">
        <f>+insumos!$H$121</f>
        <v>0.0445</v>
      </c>
      <c r="CS13" s="281">
        <v>3636</v>
      </c>
      <c r="CT13" s="282" t="s">
        <v>550</v>
      </c>
      <c r="CU13" s="283">
        <f>+insumos!$H$121</f>
        <v>0.0445</v>
      </c>
      <c r="CX13" s="292"/>
      <c r="CY13" s="280" t="s">
        <v>553</v>
      </c>
      <c r="CZ13" s="293"/>
      <c r="DA13" s="285"/>
      <c r="DC13" s="281">
        <v>3636</v>
      </c>
      <c r="DD13" s="282" t="s">
        <v>550</v>
      </c>
      <c r="DE13" s="283">
        <f>+insumos!$H$121</f>
        <v>0.0445</v>
      </c>
      <c r="DF13" s="245"/>
      <c r="DG13" s="245"/>
      <c r="DH13" s="292"/>
      <c r="DI13" s="279" t="s">
        <v>553</v>
      </c>
      <c r="DJ13" s="293"/>
      <c r="DK13" s="245"/>
      <c r="DL13" s="245"/>
      <c r="DM13" s="281">
        <v>3636</v>
      </c>
      <c r="DN13" s="282" t="s">
        <v>550</v>
      </c>
      <c r="DO13" s="283">
        <f>+insumos!$H$121</f>
        <v>0.0445</v>
      </c>
      <c r="DP13" s="284"/>
      <c r="DQ13" s="285"/>
      <c r="DR13" s="292"/>
      <c r="DS13" s="280" t="s">
        <v>553</v>
      </c>
      <c r="DT13" s="293"/>
      <c r="DU13" s="285"/>
      <c r="DV13" s="285"/>
      <c r="DW13" s="292"/>
      <c r="DX13" s="280" t="s">
        <v>553</v>
      </c>
      <c r="DY13" s="293"/>
      <c r="DZ13" s="285"/>
      <c r="EA13" s="285"/>
      <c r="EB13" s="285"/>
      <c r="EC13" s="245"/>
      <c r="EE13" s="2">
        <v>3108</v>
      </c>
      <c r="EF13" s="1" t="s">
        <v>554</v>
      </c>
      <c r="EG13" s="85">
        <v>0.24</v>
      </c>
      <c r="EH13" s="245"/>
      <c r="EI13" s="2">
        <v>2157</v>
      </c>
      <c r="EJ13" s="2" t="s">
        <v>555</v>
      </c>
      <c r="EK13" s="2">
        <v>1</v>
      </c>
      <c r="EL13" s="175">
        <f>insumos!H249</f>
        <v>0.0085</v>
      </c>
      <c r="EM13" s="245"/>
      <c r="EN13" s="245"/>
    </row>
    <row r="14" spans="1:144" x14ac:dyDescent="0.25">
      <c r="A14" s="245"/>
      <c r="B14" s="294"/>
      <c r="C14" s="279" t="s">
        <v>553</v>
      </c>
      <c r="D14" s="295"/>
      <c r="E14" s="245"/>
      <c r="F14" s="285"/>
      <c r="G14" s="26" t="s">
        <v>556</v>
      </c>
      <c r="H14" s="30" t="s">
        <v>557</v>
      </c>
      <c r="I14" s="283">
        <f>insumos!$H$23*4</f>
        <v>1.151999462510078</v>
      </c>
      <c r="J14" s="291" t="s">
        <v>531</v>
      </c>
      <c r="K14" s="291"/>
      <c r="L14" s="26" t="s">
        <v>558</v>
      </c>
      <c r="M14" s="30" t="s">
        <v>559</v>
      </c>
      <c r="N14" s="283">
        <f>insumos!$H$65*3</f>
        <v>0.41399939133081165</v>
      </c>
      <c r="O14" s="291" t="s">
        <v>526</v>
      </c>
      <c r="P14" s="285"/>
      <c r="Q14" s="281"/>
      <c r="R14" s="282"/>
      <c r="S14" s="283"/>
      <c r="T14" s="1"/>
      <c r="U14" s="245"/>
      <c r="V14" s="281">
        <v>4745</v>
      </c>
      <c r="W14" s="282" t="s">
        <v>560</v>
      </c>
      <c r="X14" s="283">
        <f>insumos!H93*8</f>
        <v>0.912</v>
      </c>
      <c r="Y14" s="1" t="s">
        <v>561</v>
      </c>
      <c r="Z14" s="245"/>
      <c r="AA14" s="281">
        <v>4741</v>
      </c>
      <c r="AB14" s="282" t="s">
        <v>562</v>
      </c>
      <c r="AC14" s="283">
        <f>insumos!$H$90*10</f>
        <v>3.0800000000000005</v>
      </c>
      <c r="AD14" s="1" t="s">
        <v>563</v>
      </c>
      <c r="AE14" s="245"/>
      <c r="AF14" s="281">
        <v>5138</v>
      </c>
      <c r="AG14" s="282" t="s">
        <v>564</v>
      </c>
      <c r="AH14" s="283">
        <f>insumos!H113*4</f>
        <v>0.1080378154486858</v>
      </c>
      <c r="AI14" s="284" t="s">
        <v>531</v>
      </c>
      <c r="AJ14" s="245"/>
      <c r="AK14" s="281">
        <v>6293</v>
      </c>
      <c r="AL14" s="282" t="s">
        <v>565</v>
      </c>
      <c r="AM14" s="283">
        <f>insumos!$H$55*10</f>
        <v>1.61</v>
      </c>
      <c r="AN14" s="1" t="s">
        <v>563</v>
      </c>
      <c r="AO14" s="245"/>
      <c r="AP14" s="292"/>
      <c r="AQ14" s="279" t="s">
        <v>553</v>
      </c>
      <c r="AR14" s="293"/>
      <c r="AS14" s="284"/>
      <c r="AU14" s="292"/>
      <c r="AV14" s="279" t="s">
        <v>553</v>
      </c>
      <c r="AW14" s="293"/>
      <c r="AX14" s="284"/>
      <c r="AZ14" s="292"/>
      <c r="BA14" s="279" t="s">
        <v>553</v>
      </c>
      <c r="BB14" s="293"/>
      <c r="BC14" s="284"/>
      <c r="BD14" s="285"/>
      <c r="BE14" s="292"/>
      <c r="BF14" s="279" t="s">
        <v>553</v>
      </c>
      <c r="BG14" s="293"/>
      <c r="BH14" s="284"/>
      <c r="BI14" s="245"/>
      <c r="BJ14" s="26"/>
      <c r="BK14" s="30"/>
      <c r="BL14" s="283"/>
      <c r="BM14" s="1"/>
      <c r="BN14" s="245"/>
      <c r="BO14" s="292"/>
      <c r="BP14" s="279" t="s">
        <v>553</v>
      </c>
      <c r="BQ14" s="293"/>
      <c r="BR14" s="284"/>
      <c r="BS14" s="285"/>
      <c r="BT14" s="292"/>
      <c r="BU14" s="279" t="s">
        <v>553</v>
      </c>
      <c r="BV14" s="293"/>
      <c r="BW14" s="284"/>
      <c r="BX14" s="285"/>
      <c r="BY14" s="294"/>
      <c r="BZ14" s="279" t="s">
        <v>553</v>
      </c>
      <c r="CA14" s="295"/>
      <c r="CD14" s="294"/>
      <c r="CE14" s="279" t="s">
        <v>553</v>
      </c>
      <c r="CF14" s="295"/>
      <c r="CI14" s="294"/>
      <c r="CJ14" s="279" t="s">
        <v>553</v>
      </c>
      <c r="CK14" s="295"/>
      <c r="CN14" s="294"/>
      <c r="CO14" s="279" t="s">
        <v>553</v>
      </c>
      <c r="CP14" s="295"/>
      <c r="CS14" s="294"/>
      <c r="CT14" s="279" t="s">
        <v>553</v>
      </c>
      <c r="CU14" s="295"/>
      <c r="CX14" s="281">
        <v>4741</v>
      </c>
      <c r="CY14" s="282" t="s">
        <v>562</v>
      </c>
      <c r="CZ14" s="283">
        <f>insumos!$H$90*10</f>
        <v>3.0800000000000005</v>
      </c>
      <c r="DA14" s="291" t="s">
        <v>563</v>
      </c>
      <c r="DC14" s="294"/>
      <c r="DD14" s="279" t="s">
        <v>553</v>
      </c>
      <c r="DE14" s="295"/>
      <c r="DF14" s="245"/>
      <c r="DG14" s="245"/>
      <c r="DH14" s="26" t="s">
        <v>566</v>
      </c>
      <c r="DI14" s="30" t="s">
        <v>567</v>
      </c>
      <c r="DJ14" s="283">
        <f>insumos!$H$113*12</f>
        <v>0.32411344634605743</v>
      </c>
      <c r="DK14" s="1" t="s">
        <v>568</v>
      </c>
      <c r="DL14" s="245"/>
      <c r="DM14" s="292"/>
      <c r="DN14" s="279" t="s">
        <v>553</v>
      </c>
      <c r="DO14" s="293"/>
      <c r="DP14" s="284"/>
      <c r="DQ14" s="285"/>
      <c r="DR14" s="26" t="s">
        <v>558</v>
      </c>
      <c r="DS14" s="30" t="s">
        <v>559</v>
      </c>
      <c r="DT14" s="283">
        <f>insumos!$H$65*4</f>
        <v>0.5519991884410822</v>
      </c>
      <c r="DU14" s="291" t="s">
        <v>531</v>
      </c>
      <c r="DV14" s="291"/>
      <c r="DW14" s="26" t="s">
        <v>569</v>
      </c>
      <c r="DX14" s="1" t="s">
        <v>570</v>
      </c>
      <c r="DY14" s="31">
        <f>insumos!$H$90*12</f>
        <v>3.6960000000000006</v>
      </c>
      <c r="DZ14" s="291" t="s">
        <v>568</v>
      </c>
      <c r="EA14" s="291"/>
      <c r="EB14" s="285"/>
      <c r="EC14" s="245"/>
      <c r="EE14" s="2">
        <v>2122</v>
      </c>
      <c r="EF14" s="1" t="s">
        <v>571</v>
      </c>
      <c r="EG14" s="85">
        <f>0.0583333333333333*45</f>
        <v>2.6249999999999987</v>
      </c>
      <c r="EH14" s="245"/>
      <c r="EI14" s="2">
        <v>3636</v>
      </c>
      <c r="EJ14" s="2" t="s">
        <v>572</v>
      </c>
      <c r="EK14" s="2">
        <v>1</v>
      </c>
      <c r="EL14" s="175">
        <f>insumos!H121</f>
        <v>0.0445</v>
      </c>
      <c r="EM14" s="245"/>
      <c r="EN14" s="245"/>
    </row>
    <row r="15" spans="1:144" x14ac:dyDescent="0.25">
      <c r="A15" s="245"/>
      <c r="B15" s="281">
        <v>6269</v>
      </c>
      <c r="C15" s="282" t="s">
        <v>573</v>
      </c>
      <c r="D15" s="31">
        <f>insumos!H150*12</f>
        <v>1.1319</v>
      </c>
      <c r="E15" s="296" t="s">
        <v>568</v>
      </c>
      <c r="F15" s="291"/>
      <c r="G15" s="26" t="s">
        <v>566</v>
      </c>
      <c r="H15" s="30" t="s">
        <v>567</v>
      </c>
      <c r="I15" s="283">
        <f>insumos!$H$113*4</f>
        <v>0.1080378154486858</v>
      </c>
      <c r="J15" s="291" t="s">
        <v>531</v>
      </c>
      <c r="K15" s="291"/>
      <c r="L15" s="26" t="s">
        <v>566</v>
      </c>
      <c r="M15" s="30" t="s">
        <v>567</v>
      </c>
      <c r="N15" s="283">
        <f>insumos!$H$113*3</f>
        <v>0.08102836158651436</v>
      </c>
      <c r="O15" s="291" t="s">
        <v>526</v>
      </c>
      <c r="P15" s="291"/>
      <c r="Q15" s="297"/>
      <c r="R15" s="298" t="s">
        <v>5</v>
      </c>
      <c r="S15" s="299">
        <f>SUM(S7:S14)</f>
        <v>1.3723890898260136</v>
      </c>
      <c r="T15" s="245"/>
      <c r="U15" s="245"/>
      <c r="V15" s="297"/>
      <c r="W15" s="298" t="s">
        <v>5</v>
      </c>
      <c r="X15" s="299">
        <f>SUM(X7:X14)</f>
        <v>2.2843890898260137</v>
      </c>
      <c r="Y15" s="245"/>
      <c r="Z15" s="245"/>
      <c r="AA15" s="26" t="s">
        <v>574</v>
      </c>
      <c r="AB15" s="1" t="s">
        <v>575</v>
      </c>
      <c r="AC15" s="283">
        <f>insumos!$H$120*10</f>
        <v>0.199</v>
      </c>
      <c r="AD15" s="1" t="s">
        <v>563</v>
      </c>
      <c r="AE15" s="245"/>
      <c r="AF15" s="281">
        <v>4745</v>
      </c>
      <c r="AG15" s="282" t="s">
        <v>560</v>
      </c>
      <c r="AH15" s="283">
        <f>insumos!H93*4</f>
        <v>0.456</v>
      </c>
      <c r="AI15" s="300" t="s">
        <v>531</v>
      </c>
      <c r="AJ15" s="245"/>
      <c r="AK15" s="297"/>
      <c r="AL15" s="298" t="s">
        <v>5</v>
      </c>
      <c r="AM15" s="299">
        <f>SUM(AM7:AM14)</f>
        <v>3.7032179397673737</v>
      </c>
      <c r="AN15" s="245"/>
      <c r="AO15" s="245"/>
      <c r="AP15" s="281">
        <v>4102</v>
      </c>
      <c r="AQ15" s="282" t="s">
        <v>576</v>
      </c>
      <c r="AR15" s="283">
        <f>insumos!$H$115*28</f>
        <v>0.924</v>
      </c>
      <c r="AS15" s="300" t="s">
        <v>577</v>
      </c>
      <c r="AU15" s="281">
        <v>6290</v>
      </c>
      <c r="AV15" s="282" t="s">
        <v>573</v>
      </c>
      <c r="AW15" s="283">
        <f>insumos!H190*35</f>
        <v>1.8199999999999998</v>
      </c>
      <c r="AX15" s="300" t="s">
        <v>578</v>
      </c>
      <c r="AZ15" s="281">
        <v>4102</v>
      </c>
      <c r="BA15" s="282" t="s">
        <v>576</v>
      </c>
      <c r="BB15" s="283">
        <f>insumos!$H$115*9</f>
        <v>0.29700000000000004</v>
      </c>
      <c r="BC15" s="300" t="s">
        <v>579</v>
      </c>
      <c r="BD15" s="291"/>
      <c r="BE15" s="26" t="s">
        <v>566</v>
      </c>
      <c r="BF15" s="30" t="s">
        <v>567</v>
      </c>
      <c r="BG15" s="283">
        <f>insumos!$H$113*12</f>
        <v>0.32411344634605743</v>
      </c>
      <c r="BH15" s="300" t="s">
        <v>568</v>
      </c>
      <c r="BI15" s="245"/>
      <c r="BJ15" s="26"/>
      <c r="BK15" s="30"/>
      <c r="BL15" s="283"/>
      <c r="BM15" s="1"/>
      <c r="BN15" s="245"/>
      <c r="BO15" s="281">
        <v>4102</v>
      </c>
      <c r="BP15" s="282" t="s">
        <v>576</v>
      </c>
      <c r="BQ15" s="283">
        <f>insumos!$H$115*4</f>
        <v>0.132</v>
      </c>
      <c r="BR15" s="300" t="s">
        <v>531</v>
      </c>
      <c r="BS15" s="291"/>
      <c r="BT15" s="26" t="s">
        <v>566</v>
      </c>
      <c r="BU15" s="30" t="s">
        <v>567</v>
      </c>
      <c r="BV15" s="283">
        <f>insumos!$H$113*12</f>
        <v>0.32411344634605743</v>
      </c>
      <c r="BW15" s="300" t="s">
        <v>568</v>
      </c>
      <c r="BX15" s="291"/>
      <c r="BY15" s="26"/>
      <c r="BZ15" s="1"/>
      <c r="CA15" s="31"/>
      <c r="CB15" s="296"/>
      <c r="CD15" s="26" t="s">
        <v>566</v>
      </c>
      <c r="CE15" s="30" t="s">
        <v>567</v>
      </c>
      <c r="CF15" s="283">
        <f>insumos!$H$113*16</f>
        <v>0.4321512617947432</v>
      </c>
      <c r="CG15" s="296" t="s">
        <v>580</v>
      </c>
      <c r="CH15" s="296"/>
      <c r="CI15" s="26" t="s">
        <v>558</v>
      </c>
      <c r="CJ15" s="30" t="s">
        <v>559</v>
      </c>
      <c r="CK15" s="283">
        <f>insumos!$H$65*8</f>
        <v>1.1039983768821644</v>
      </c>
      <c r="CL15" s="296"/>
      <c r="CM15" s="296"/>
      <c r="CN15" s="26" t="s">
        <v>581</v>
      </c>
      <c r="CO15" s="1" t="s">
        <v>582</v>
      </c>
      <c r="CP15" s="31">
        <f>insumos!$H$181*16</f>
        <v>1.5679999999999998</v>
      </c>
      <c r="CQ15" s="296" t="s">
        <v>580</v>
      </c>
      <c r="CR15" s="296"/>
      <c r="CS15" s="26" t="s">
        <v>581</v>
      </c>
      <c r="CT15" s="1" t="s">
        <v>582</v>
      </c>
      <c r="CU15" s="31">
        <f>insumos!$H$181*16</f>
        <v>1.5679999999999998</v>
      </c>
      <c r="CV15" s="296" t="s">
        <v>580</v>
      </c>
      <c r="CW15" s="296"/>
      <c r="CX15" s="26"/>
      <c r="CY15" s="30"/>
      <c r="CZ15" s="283"/>
      <c r="DA15" s="291"/>
      <c r="DB15" s="296"/>
      <c r="DC15" s="281">
        <v>6206</v>
      </c>
      <c r="DD15" s="282" t="s">
        <v>573</v>
      </c>
      <c r="DE15" s="31">
        <f>insumos!$H$186*12</f>
        <v>1.1007316804407712</v>
      </c>
      <c r="DF15" s="296" t="s">
        <v>568</v>
      </c>
      <c r="DG15" s="296"/>
      <c r="DH15" s="26" t="s">
        <v>583</v>
      </c>
      <c r="DI15" s="30" t="s">
        <v>584</v>
      </c>
      <c r="DJ15" s="283">
        <f>insumos!H131*12</f>
        <v>0.8999999999999999</v>
      </c>
      <c r="DK15" s="1" t="s">
        <v>568</v>
      </c>
      <c r="DL15" s="296"/>
      <c r="DM15" s="281"/>
      <c r="DN15" s="282"/>
      <c r="DO15" s="283"/>
      <c r="DP15" s="300"/>
      <c r="DQ15" s="291"/>
      <c r="DR15" s="26"/>
      <c r="DS15" s="30"/>
      <c r="DT15" s="283"/>
      <c r="DU15" s="291"/>
      <c r="DV15" s="291"/>
      <c r="DW15" s="26" t="s">
        <v>566</v>
      </c>
      <c r="DX15" s="30" t="s">
        <v>567</v>
      </c>
      <c r="DY15" s="283">
        <f>insumos!$H$113*12</f>
        <v>0.32411344634605743</v>
      </c>
      <c r="DZ15" s="291" t="s">
        <v>568</v>
      </c>
      <c r="EA15" s="291"/>
      <c r="EB15" s="291"/>
      <c r="EC15" s="296"/>
      <c r="ED15" s="296"/>
      <c r="EE15" s="1"/>
      <c r="EF15" s="1" t="s">
        <v>5</v>
      </c>
      <c r="EG15" s="85">
        <f>SUM(EG6:EG14)</f>
        <v>32.084102766798416</v>
      </c>
      <c r="EH15" s="245"/>
      <c r="EI15" s="164"/>
      <c r="EJ15" s="301" t="s">
        <v>585</v>
      </c>
      <c r="EK15" s="164"/>
      <c r="EL15" s="302">
        <f>SUM(EL5:EL14)</f>
        <v>1.4890050318549992</v>
      </c>
      <c r="EM15" s="245"/>
      <c r="EN15" s="245"/>
    </row>
    <row r="16" spans="1:144" x14ac:dyDescent="0.25">
      <c r="A16" s="245"/>
      <c r="B16" s="281">
        <v>5202</v>
      </c>
      <c r="C16" s="282" t="s">
        <v>586</v>
      </c>
      <c r="D16" s="31">
        <f>insumos!$H$114*16</f>
        <v>0.4215161904761905</v>
      </c>
      <c r="E16" s="296" t="s">
        <v>568</v>
      </c>
      <c r="F16" s="291"/>
      <c r="G16" s="297"/>
      <c r="H16" s="303" t="s">
        <v>5</v>
      </c>
      <c r="I16" s="299">
        <f>SUM(I7:I15)</f>
        <v>3.460387501561888</v>
      </c>
      <c r="J16" s="245"/>
      <c r="K16" s="245"/>
      <c r="L16" s="297"/>
      <c r="M16" s="303" t="s">
        <v>5</v>
      </c>
      <c r="N16" s="299">
        <f>SUM(N7:N15)</f>
        <v>2.6530040313554397</v>
      </c>
      <c r="O16" s="245"/>
      <c r="P16" s="291"/>
      <c r="Q16" s="281"/>
      <c r="R16" s="282" t="s">
        <v>587</v>
      </c>
      <c r="S16" s="304">
        <f>1558.78/83</f>
        <v>18.78048192771084</v>
      </c>
      <c r="T16" s="245"/>
      <c r="U16" s="245"/>
      <c r="V16" s="281"/>
      <c r="W16" s="282" t="s">
        <v>587</v>
      </c>
      <c r="X16" s="281">
        <v>20.39</v>
      </c>
      <c r="Y16" s="245"/>
      <c r="Z16" s="245"/>
      <c r="AA16" s="297"/>
      <c r="AB16" s="298" t="s">
        <v>5</v>
      </c>
      <c r="AC16" s="299">
        <f>SUM(AC7:AC15)</f>
        <v>5.436976278438114</v>
      </c>
      <c r="AD16" s="245"/>
      <c r="AE16" s="245"/>
      <c r="AF16" s="281"/>
      <c r="AG16" s="282"/>
      <c r="AH16" s="283"/>
      <c r="AI16" s="300"/>
      <c r="AJ16" s="245"/>
      <c r="AK16" s="281"/>
      <c r="AL16" s="282" t="s">
        <v>587</v>
      </c>
      <c r="AM16" s="281">
        <v>12.83</v>
      </c>
      <c r="AN16" s="245"/>
      <c r="AO16" s="245"/>
      <c r="AP16" s="281">
        <v>6229</v>
      </c>
      <c r="AQ16" s="30" t="s">
        <v>588</v>
      </c>
      <c r="AR16" s="283">
        <f>insumos!$I$265*28</f>
        <v>0.6025954662566883</v>
      </c>
      <c r="AS16" s="300" t="s">
        <v>577</v>
      </c>
      <c r="AU16" s="281"/>
      <c r="AV16" s="282"/>
      <c r="AW16" s="283"/>
      <c r="AX16" s="300"/>
      <c r="AZ16" s="281">
        <v>6229</v>
      </c>
      <c r="BA16" s="30" t="s">
        <v>588</v>
      </c>
      <c r="BB16" s="283">
        <f>insumos!$I$265*9</f>
        <v>0.19369139986822123</v>
      </c>
      <c r="BC16" s="300" t="s">
        <v>579</v>
      </c>
      <c r="BD16" s="291"/>
      <c r="BE16" s="281">
        <v>6229</v>
      </c>
      <c r="BF16" s="30" t="s">
        <v>588</v>
      </c>
      <c r="BG16" s="283">
        <f>insumos!$I$265*12</f>
        <v>0.25825519982429496</v>
      </c>
      <c r="BH16" s="300" t="s">
        <v>568</v>
      </c>
      <c r="BI16" s="245"/>
      <c r="BJ16" s="297"/>
      <c r="BK16" s="298" t="s">
        <v>5</v>
      </c>
      <c r="BL16" s="299">
        <f>SUM(BL7:BL15)</f>
        <v>1.4003298207233719</v>
      </c>
      <c r="BM16" s="245"/>
      <c r="BN16" s="245"/>
      <c r="BO16" s="26" t="s">
        <v>589</v>
      </c>
      <c r="BP16" s="30" t="s">
        <v>590</v>
      </c>
      <c r="BQ16" s="283">
        <f>insumos!$H$80*4</f>
        <v>0.884</v>
      </c>
      <c r="BR16" s="300" t="s">
        <v>531</v>
      </c>
      <c r="BS16" s="291"/>
      <c r="BT16" s="26" t="s">
        <v>591</v>
      </c>
      <c r="BU16" s="30" t="s">
        <v>592</v>
      </c>
      <c r="BV16" s="283">
        <f>insumos!$H$71*12</f>
        <v>1.452</v>
      </c>
      <c r="BW16" s="300" t="s">
        <v>568</v>
      </c>
      <c r="BX16" s="291"/>
      <c r="BY16" s="281">
        <v>5202</v>
      </c>
      <c r="BZ16" s="282" t="s">
        <v>586</v>
      </c>
      <c r="CA16" s="31">
        <f>insumos!$H$114*15</f>
        <v>0.39517142857142856</v>
      </c>
      <c r="CB16" s="296" t="s">
        <v>593</v>
      </c>
      <c r="CD16" s="26" t="s">
        <v>594</v>
      </c>
      <c r="CE16" s="30" t="s">
        <v>595</v>
      </c>
      <c r="CF16" s="283">
        <f>insumos!$H$76*16</f>
        <v>3.302411111111111</v>
      </c>
      <c r="CG16" s="296" t="s">
        <v>580</v>
      </c>
      <c r="CH16" s="296"/>
      <c r="CI16" s="26" t="s">
        <v>581</v>
      </c>
      <c r="CJ16" s="30" t="s">
        <v>582</v>
      </c>
      <c r="CK16" s="283">
        <f>insumos!$H$181*8</f>
        <v>0.7839999999999999</v>
      </c>
      <c r="CL16" s="296"/>
      <c r="CM16" s="296"/>
      <c r="CN16" s="281">
        <v>5202</v>
      </c>
      <c r="CO16" s="282" t="s">
        <v>586</v>
      </c>
      <c r="CP16" s="31">
        <f>insumos!$H$114*16</f>
        <v>0.4215161904761905</v>
      </c>
      <c r="CQ16" s="296" t="s">
        <v>580</v>
      </c>
      <c r="CR16" s="296"/>
      <c r="CS16" s="26" t="s">
        <v>566</v>
      </c>
      <c r="CT16" s="30" t="s">
        <v>567</v>
      </c>
      <c r="CU16" s="283">
        <f>insumos!$H$113*16</f>
        <v>0.4321512617947432</v>
      </c>
      <c r="CV16" s="296" t="s">
        <v>580</v>
      </c>
      <c r="CW16" s="296"/>
      <c r="CX16" s="297"/>
      <c r="CY16" s="303" t="s">
        <v>5</v>
      </c>
      <c r="CZ16" s="299">
        <f>SUM(CZ7:CZ15)</f>
        <v>5.237976278438114</v>
      </c>
      <c r="DA16" s="245"/>
      <c r="DB16" s="296"/>
      <c r="DC16" s="281">
        <v>5202</v>
      </c>
      <c r="DD16" s="282" t="s">
        <v>586</v>
      </c>
      <c r="DE16" s="31">
        <f>insumos!$H$114*12</f>
        <v>0.3161371428571429</v>
      </c>
      <c r="DF16" s="296" t="s">
        <v>568</v>
      </c>
      <c r="DG16" s="296"/>
      <c r="DH16" s="26" t="s">
        <v>596</v>
      </c>
      <c r="DI16" s="30" t="s">
        <v>597</v>
      </c>
      <c r="DJ16" s="283">
        <f>insumos!$H$53*12</f>
        <v>1.8720000000000003</v>
      </c>
      <c r="DK16" s="1" t="s">
        <v>568</v>
      </c>
      <c r="DL16" s="296"/>
      <c r="DM16" s="281">
        <v>6229</v>
      </c>
      <c r="DN16" s="30" t="s">
        <v>588</v>
      </c>
      <c r="DO16" s="283">
        <f>insumos!$I$265*12</f>
        <v>0.25825519982429496</v>
      </c>
      <c r="DP16" s="300" t="s">
        <v>568</v>
      </c>
      <c r="DQ16" s="291"/>
      <c r="DR16" s="297"/>
      <c r="DS16" s="303" t="s">
        <v>5</v>
      </c>
      <c r="DT16" s="299">
        <f>SUM(DT7:DT15)</f>
        <v>2.7193882782670964</v>
      </c>
      <c r="DU16" s="245"/>
      <c r="DV16" s="245"/>
      <c r="DW16" s="297"/>
      <c r="DX16" s="303" t="s">
        <v>5</v>
      </c>
      <c r="DY16" s="299">
        <f>SUM(DY7:DY15)</f>
        <v>6.187502536172072</v>
      </c>
      <c r="DZ16" s="245"/>
      <c r="EA16" s="245"/>
      <c r="EB16" s="291"/>
      <c r="EC16" s="296"/>
      <c r="ED16" s="296"/>
      <c r="EE16" s="1"/>
      <c r="EF16" s="1" t="s">
        <v>598</v>
      </c>
      <c r="EG16" s="85">
        <f>45*12.2</f>
        <v>549</v>
      </c>
      <c r="EH16" s="245"/>
      <c r="EI16" s="1"/>
      <c r="EJ16" s="305" t="s">
        <v>599</v>
      </c>
      <c r="EK16" s="306"/>
      <c r="EL16" s="306">
        <f>EL15/EL17</f>
        <v>0.07482437346005022</v>
      </c>
      <c r="EM16" s="245"/>
      <c r="EN16" s="245"/>
    </row>
    <row r="17" spans="1:144" x14ac:dyDescent="0.25">
      <c r="A17" s="245"/>
      <c r="B17" s="281">
        <v>6229</v>
      </c>
      <c r="C17" s="30" t="s">
        <v>588</v>
      </c>
      <c r="D17" s="31">
        <f>insumos!$I$265*12</f>
        <v>0.25825519982429496</v>
      </c>
      <c r="E17" s="296" t="s">
        <v>568</v>
      </c>
      <c r="F17" s="291"/>
      <c r="G17" s="281"/>
      <c r="H17" s="286" t="s">
        <v>587</v>
      </c>
      <c r="I17" s="281">
        <v>19.5</v>
      </c>
      <c r="J17" s="245"/>
      <c r="K17" s="245"/>
      <c r="L17" s="281"/>
      <c r="M17" s="286" t="s">
        <v>587</v>
      </c>
      <c r="N17" s="304">
        <f>29253.79/2456</f>
        <v>11.911152280130294</v>
      </c>
      <c r="O17" s="245"/>
      <c r="P17" s="291"/>
      <c r="Q17" s="281"/>
      <c r="R17" s="307" t="s">
        <v>599</v>
      </c>
      <c r="S17" s="308">
        <f>+S15/S16</f>
        <v>0.07307528609268732</v>
      </c>
      <c r="T17" s="245"/>
      <c r="U17" s="245"/>
      <c r="V17" s="281"/>
      <c r="W17" s="307" t="s">
        <v>599</v>
      </c>
      <c r="X17" s="308">
        <f>+X15/X16</f>
        <v>0.11203477635242833</v>
      </c>
      <c r="Y17" s="245"/>
      <c r="Z17" s="245"/>
      <c r="AA17" s="281"/>
      <c r="AB17" s="282" t="s">
        <v>587</v>
      </c>
      <c r="AC17" s="281">
        <v>12.38</v>
      </c>
      <c r="AD17" s="245"/>
      <c r="AE17" s="245"/>
      <c r="AF17" s="281"/>
      <c r="AG17" s="282"/>
      <c r="AH17" s="283"/>
      <c r="AI17" s="269"/>
      <c r="AJ17" s="245"/>
      <c r="AK17" s="281"/>
      <c r="AL17" s="307" t="s">
        <v>599</v>
      </c>
      <c r="AM17" s="308">
        <f>+AM15/AM16</f>
        <v>0.28863740762021617</v>
      </c>
      <c r="AN17" s="245"/>
      <c r="AO17" s="245"/>
      <c r="AP17" s="281">
        <v>6254</v>
      </c>
      <c r="AQ17" s="30" t="s">
        <v>600</v>
      </c>
      <c r="AR17" s="283">
        <f>+insumos!$I$208*28</f>
        <v>1.2448085961969924</v>
      </c>
      <c r="AS17" s="300" t="s">
        <v>577</v>
      </c>
      <c r="AU17" s="281">
        <v>6229</v>
      </c>
      <c r="AV17" s="30" t="s">
        <v>588</v>
      </c>
      <c r="AW17" s="283">
        <f>insumos!$I$265*35</f>
        <v>0.7532443328208603</v>
      </c>
      <c r="AX17" s="300"/>
      <c r="AZ17" s="281">
        <v>6254</v>
      </c>
      <c r="BA17" s="30" t="s">
        <v>600</v>
      </c>
      <c r="BB17" s="283">
        <f>+insumos!$I$208*9</f>
        <v>0.40011704877760473</v>
      </c>
      <c r="BC17" s="300" t="s">
        <v>579</v>
      </c>
      <c r="BD17" s="291"/>
      <c r="BE17" s="281">
        <v>6254</v>
      </c>
      <c r="BF17" s="30" t="s">
        <v>600</v>
      </c>
      <c r="BG17" s="283">
        <f>+insumos!$I$208*12</f>
        <v>0.5334893983701396</v>
      </c>
      <c r="BH17" s="300" t="s">
        <v>568</v>
      </c>
      <c r="BI17" s="245"/>
      <c r="BJ17" s="281"/>
      <c r="BK17" s="282" t="s">
        <v>587</v>
      </c>
      <c r="BL17" s="304">
        <f>146362.59/5379</f>
        <v>27.21</v>
      </c>
      <c r="BM17" s="245"/>
      <c r="BN17" s="245"/>
      <c r="BO17" s="281"/>
      <c r="BP17" s="30"/>
      <c r="BQ17" s="283"/>
      <c r="BR17" s="300"/>
      <c r="BS17" s="291"/>
      <c r="BT17" s="281"/>
      <c r="BU17" s="30"/>
      <c r="BV17" s="283"/>
      <c r="BW17" s="300"/>
      <c r="BX17" s="291"/>
      <c r="BY17" s="26" t="s">
        <v>569</v>
      </c>
      <c r="BZ17" s="1" t="s">
        <v>570</v>
      </c>
      <c r="CA17" s="31">
        <f>insumos!$H$90*15</f>
        <v>4.620000000000001</v>
      </c>
      <c r="CB17" s="296" t="s">
        <v>593</v>
      </c>
      <c r="CD17" s="309"/>
      <c r="CE17" s="1"/>
      <c r="CF17" s="31"/>
      <c r="CG17" s="296"/>
      <c r="CH17" s="296"/>
      <c r="CI17" s="281"/>
      <c r="CJ17" s="30"/>
      <c r="CK17" s="31"/>
      <c r="CL17" s="296"/>
      <c r="CM17" s="296"/>
      <c r="CN17" s="26" t="s">
        <v>558</v>
      </c>
      <c r="CO17" s="1" t="s">
        <v>559</v>
      </c>
      <c r="CP17" s="31">
        <f>insumos!$H$65*16</f>
        <v>2.207996753764329</v>
      </c>
      <c r="CQ17" s="296" t="s">
        <v>580</v>
      </c>
      <c r="CR17" s="296"/>
      <c r="CS17" s="26" t="s">
        <v>558</v>
      </c>
      <c r="CT17" s="1" t="s">
        <v>559</v>
      </c>
      <c r="CU17" s="31">
        <f>insumos!$H$65*16</f>
        <v>2.207996753764329</v>
      </c>
      <c r="CV17" s="296" t="s">
        <v>580</v>
      </c>
      <c r="CW17" s="296"/>
      <c r="CX17" s="281"/>
      <c r="CY17" s="286" t="s">
        <v>587</v>
      </c>
      <c r="CZ17" s="304">
        <v>12.64</v>
      </c>
      <c r="DA17" s="245"/>
      <c r="DB17" s="296"/>
      <c r="DC17" s="281">
        <v>6229</v>
      </c>
      <c r="DD17" s="30" t="s">
        <v>588</v>
      </c>
      <c r="DE17" s="31">
        <f>insumos!$I$265*12</f>
        <v>0.25825519982429496</v>
      </c>
      <c r="DF17" s="296" t="s">
        <v>568</v>
      </c>
      <c r="DG17" s="296"/>
      <c r="DH17" s="297"/>
      <c r="DI17" s="298" t="s">
        <v>5</v>
      </c>
      <c r="DJ17" s="299">
        <f>SUM(DJ7:DJ16)</f>
        <v>5.654089724784171</v>
      </c>
      <c r="DK17" s="245"/>
      <c r="DL17" s="296"/>
      <c r="DM17" s="281">
        <v>6254</v>
      </c>
      <c r="DN17" s="30" t="s">
        <v>600</v>
      </c>
      <c r="DO17" s="283">
        <f>+insumos!$I$208*12</f>
        <v>0.5334893983701396</v>
      </c>
      <c r="DP17" s="300" t="s">
        <v>568</v>
      </c>
      <c r="DQ17" s="291"/>
      <c r="DR17" s="281"/>
      <c r="DS17" s="286" t="s">
        <v>587</v>
      </c>
      <c r="DT17" s="304">
        <v>18.09</v>
      </c>
      <c r="DU17" s="245"/>
      <c r="DV17" s="245"/>
      <c r="DW17" s="281"/>
      <c r="DX17" s="286" t="s">
        <v>587</v>
      </c>
      <c r="DY17" s="304">
        <f>125974.25/7458</f>
        <v>16.89115714668812</v>
      </c>
      <c r="DZ17" s="245"/>
      <c r="EA17" s="245"/>
      <c r="EB17" s="291"/>
      <c r="EC17" s="296"/>
      <c r="ED17" s="296"/>
      <c r="EE17" s="1"/>
      <c r="EF17" s="1" t="s">
        <v>601</v>
      </c>
      <c r="EG17" s="85">
        <f>(+EG15/EG16)*1000</f>
        <v>58.44098864626306</v>
      </c>
      <c r="EH17" s="245"/>
      <c r="EI17" s="1"/>
      <c r="EJ17" s="1" t="s">
        <v>602</v>
      </c>
      <c r="EK17" s="1" t="s">
        <v>603</v>
      </c>
      <c r="EL17" s="85">
        <v>19.9</v>
      </c>
      <c r="EM17" s="245"/>
      <c r="EN17" s="245"/>
    </row>
    <row r="18" spans="1:144" x14ac:dyDescent="0.25">
      <c r="A18" s="245"/>
      <c r="B18" s="281">
        <v>6254</v>
      </c>
      <c r="C18" s="30" t="s">
        <v>600</v>
      </c>
      <c r="D18" s="31">
        <f>+insumos!$I$208*12</f>
        <v>0.5334893983701396</v>
      </c>
      <c r="E18" s="296" t="s">
        <v>568</v>
      </c>
      <c r="F18" s="291"/>
      <c r="G18" s="281"/>
      <c r="H18" s="310" t="s">
        <v>599</v>
      </c>
      <c r="I18" s="308">
        <f>+I16/I17</f>
        <v>0.17745576931086604</v>
      </c>
      <c r="J18" s="245"/>
      <c r="K18" s="245"/>
      <c r="L18" s="281"/>
      <c r="M18" s="310" t="s">
        <v>599</v>
      </c>
      <c r="N18" s="308">
        <f>+N16/N17</f>
        <v>0.22273277756519616</v>
      </c>
      <c r="O18" s="245"/>
      <c r="P18" s="291"/>
      <c r="Q18" s="311"/>
      <c r="R18" s="307" t="s">
        <v>604</v>
      </c>
      <c r="S18" s="308">
        <f>S17*1.03</f>
        <v>0.07526754467546794</v>
      </c>
      <c r="T18" s="245"/>
      <c r="U18" s="245"/>
      <c r="V18" s="311"/>
      <c r="W18" s="307" t="s">
        <v>604</v>
      </c>
      <c r="X18" s="308">
        <f>X17*1.03</f>
        <v>0.11539581964300118</v>
      </c>
      <c r="Y18" s="245"/>
      <c r="Z18" s="245"/>
      <c r="AA18" s="281"/>
      <c r="AB18" s="307" t="s">
        <v>599</v>
      </c>
      <c r="AC18" s="308">
        <f>+AC16/AC17</f>
        <v>0.4391741743487975</v>
      </c>
      <c r="AD18" s="245"/>
      <c r="AE18" s="245"/>
      <c r="AF18" s="281"/>
      <c r="AG18" s="282"/>
      <c r="AH18" s="283"/>
      <c r="AI18" s="269"/>
      <c r="AJ18" s="245"/>
      <c r="AK18" s="311"/>
      <c r="AL18" s="307" t="s">
        <v>604</v>
      </c>
      <c r="AM18" s="308">
        <f>AM17*1.03</f>
        <v>0.29729652984882265</v>
      </c>
      <c r="AN18" s="245"/>
      <c r="AO18" s="245"/>
      <c r="AP18" s="281">
        <v>5868</v>
      </c>
      <c r="AQ18" s="30" t="s">
        <v>605</v>
      </c>
      <c r="AR18" s="283">
        <f>insumos!$I$243*28</f>
        <v>0.53088</v>
      </c>
      <c r="AS18" s="300" t="s">
        <v>577</v>
      </c>
      <c r="AU18" s="281">
        <v>6254</v>
      </c>
      <c r="AV18" s="30" t="s">
        <v>600</v>
      </c>
      <c r="AW18" s="283">
        <f>+insumos!$I$208*35</f>
        <v>1.5560107452462406</v>
      </c>
      <c r="AX18" s="300"/>
      <c r="AZ18" s="26" t="s">
        <v>606</v>
      </c>
      <c r="BA18" s="30" t="s">
        <v>607</v>
      </c>
      <c r="BB18" s="283">
        <f>insumos!$H$197*9</f>
        <v>1.3087058823529412</v>
      </c>
      <c r="BC18" s="300" t="s">
        <v>579</v>
      </c>
      <c r="BD18" s="291"/>
      <c r="BE18" s="26" t="s">
        <v>608</v>
      </c>
      <c r="BF18" s="30" t="s">
        <v>609</v>
      </c>
      <c r="BG18" s="283">
        <f>insumos!$H$176*12</f>
        <v>0.648</v>
      </c>
      <c r="BH18" s="300" t="s">
        <v>568</v>
      </c>
      <c r="BI18" s="245"/>
      <c r="BJ18" s="281"/>
      <c r="BK18" s="307" t="s">
        <v>599</v>
      </c>
      <c r="BL18" s="308">
        <f>+BL16/BL17</f>
        <v>0.05146379348487217</v>
      </c>
      <c r="BM18" s="245"/>
      <c r="BN18" s="245"/>
      <c r="BO18" s="26"/>
      <c r="BP18" s="30"/>
      <c r="BQ18" s="283"/>
      <c r="BR18" s="300"/>
      <c r="BS18" s="291"/>
      <c r="BT18" s="26"/>
      <c r="BU18" s="30"/>
      <c r="BV18" s="283"/>
      <c r="BW18" s="300"/>
      <c r="BX18" s="291"/>
      <c r="BY18" s="26"/>
      <c r="BZ18" s="30"/>
      <c r="CA18" s="283"/>
      <c r="CB18" s="300"/>
      <c r="CD18" s="297"/>
      <c r="CE18" s="298" t="s">
        <v>5</v>
      </c>
      <c r="CF18" s="299">
        <f>SUM(CF7:CF17)</f>
        <v>5.984885788871883</v>
      </c>
      <c r="CI18" s="281"/>
      <c r="CJ18" s="30"/>
      <c r="CK18" s="31"/>
      <c r="CL18" s="296"/>
      <c r="CN18" s="297"/>
      <c r="CO18" s="298" t="s">
        <v>5</v>
      </c>
      <c r="CP18" s="299">
        <f>SUM(CP7:CP17)</f>
        <v>6.477136845065219</v>
      </c>
      <c r="CS18" s="297"/>
      <c r="CT18" s="298" t="s">
        <v>5</v>
      </c>
      <c r="CU18" s="299">
        <f>SUM(CU7:CU17)</f>
        <v>6.487771916383772</v>
      </c>
      <c r="CX18" s="281"/>
      <c r="CY18" s="310" t="s">
        <v>599</v>
      </c>
      <c r="CZ18" s="308">
        <f>+CZ16/CZ17</f>
        <v>0.4143968574713698</v>
      </c>
      <c r="DA18" s="245"/>
      <c r="DC18" s="281">
        <v>6254</v>
      </c>
      <c r="DD18" s="30" t="s">
        <v>600</v>
      </c>
      <c r="DE18" s="31">
        <f>+insumos!$I$208*12</f>
        <v>0.5334893983701396</v>
      </c>
      <c r="DF18" s="296" t="s">
        <v>568</v>
      </c>
      <c r="DG18" s="296"/>
      <c r="DH18" s="281"/>
      <c r="DI18" s="282" t="s">
        <v>587</v>
      </c>
      <c r="DJ18" s="304">
        <v>12.14</v>
      </c>
      <c r="DK18" s="245"/>
      <c r="DL18" s="296"/>
      <c r="DM18" s="281">
        <v>5868</v>
      </c>
      <c r="DN18" s="30" t="s">
        <v>605</v>
      </c>
      <c r="DO18" s="283">
        <f>insumos!$I$243*12</f>
        <v>0.22752</v>
      </c>
      <c r="DP18" s="300" t="s">
        <v>568</v>
      </c>
      <c r="DQ18" s="291"/>
      <c r="DR18" s="281"/>
      <c r="DS18" s="310" t="s">
        <v>599</v>
      </c>
      <c r="DT18" s="308">
        <f>+DT16/DT17</f>
        <v>0.15032549907501916</v>
      </c>
      <c r="DU18" s="245"/>
      <c r="DV18" s="245"/>
      <c r="DW18" s="281"/>
      <c r="DX18" s="310" t="s">
        <v>599</v>
      </c>
      <c r="DY18" s="308">
        <f>+DY16/DY17</f>
        <v>0.3663160837613347</v>
      </c>
      <c r="DZ18" s="245"/>
      <c r="EA18" s="245"/>
      <c r="EB18" s="291"/>
      <c r="EC18" s="296"/>
      <c r="EE18" s="1"/>
      <c r="EF18" s="312" t="s">
        <v>610</v>
      </c>
      <c r="EG18" s="313">
        <f>+EG17*1.03</f>
        <v>60.19421830565095</v>
      </c>
      <c r="EH18" s="245"/>
      <c r="EI18" s="1"/>
      <c r="EJ18" s="1"/>
      <c r="EK18" s="1" t="s">
        <v>611</v>
      </c>
      <c r="EL18" s="85">
        <v>20.24</v>
      </c>
      <c r="EM18" s="245"/>
      <c r="EN18" s="245"/>
    </row>
    <row r="19" spans="1:140" x14ac:dyDescent="0.25">
      <c r="A19" s="245"/>
      <c r="B19" s="297"/>
      <c r="C19" s="298" t="s">
        <v>5</v>
      </c>
      <c r="D19" s="299">
        <f>SUM(D7:D18)</f>
        <v>4.9975966116099775</v>
      </c>
      <c r="E19" s="245"/>
      <c r="F19" s="291"/>
      <c r="G19" s="311"/>
      <c r="H19" s="310" t="s">
        <v>604</v>
      </c>
      <c r="I19" s="308">
        <f>I18*1.03</f>
        <v>0.18277944239019203</v>
      </c>
      <c r="J19" s="245"/>
      <c r="K19" s="245"/>
      <c r="L19" s="311"/>
      <c r="M19" s="310" t="s">
        <v>604</v>
      </c>
      <c r="N19" s="308">
        <f>N18*1.03</f>
        <v>0.22941476089215204</v>
      </c>
      <c r="O19" s="245"/>
      <c r="P19" s="291"/>
      <c r="Q19" s="291"/>
      <c r="R19" s="291"/>
      <c r="S19" s="291"/>
      <c r="T19" s="291"/>
      <c r="U19" s="291"/>
      <c r="V19" s="245"/>
      <c r="W19" s="245"/>
      <c r="X19" s="245"/>
      <c r="Y19" s="245"/>
      <c r="Z19" s="245"/>
      <c r="AA19" s="311"/>
      <c r="AB19" s="307" t="s">
        <v>604</v>
      </c>
      <c r="AC19" s="308">
        <f>AC18*1.03</f>
        <v>0.45234939957926146</v>
      </c>
      <c r="AD19" s="245"/>
      <c r="AE19" s="245"/>
      <c r="AF19" s="281"/>
      <c r="AG19" s="282"/>
      <c r="AH19" s="283"/>
      <c r="AI19" s="269"/>
      <c r="AJ19" s="245"/>
      <c r="AK19" s="245"/>
      <c r="AL19" s="245"/>
      <c r="AM19" s="245"/>
      <c r="AN19" s="245"/>
      <c r="AO19" s="245"/>
      <c r="AP19" s="297"/>
      <c r="AQ19" s="298" t="s">
        <v>5</v>
      </c>
      <c r="AR19" s="299">
        <f>SUM(AR7:AR18)</f>
        <v>6.07263392279581</v>
      </c>
      <c r="AS19" s="300"/>
      <c r="AU19" s="281"/>
      <c r="AV19" s="30"/>
      <c r="AW19" s="283"/>
      <c r="AX19" s="300"/>
      <c r="AZ19" s="297"/>
      <c r="BA19" s="298" t="s">
        <v>5</v>
      </c>
      <c r="BB19" s="299">
        <f>SUM(BB7:BB18)</f>
        <v>4.636243708022121</v>
      </c>
      <c r="BC19" s="300"/>
      <c r="BD19" s="291"/>
      <c r="BE19" s="297"/>
      <c r="BF19" s="298" t="s">
        <v>5</v>
      </c>
      <c r="BG19" s="299">
        <f>SUM(BG7:BG18)</f>
        <v>4.700528598034435</v>
      </c>
      <c r="BH19" s="300"/>
      <c r="BI19" s="245"/>
      <c r="BJ19" s="311"/>
      <c r="BK19" s="307" t="s">
        <v>604</v>
      </c>
      <c r="BL19" s="308">
        <f>BL18*1.03</f>
        <v>0.05300770728941834</v>
      </c>
      <c r="BM19" s="245"/>
      <c r="BN19" s="245"/>
      <c r="BO19" s="297"/>
      <c r="BP19" s="298" t="s">
        <v>5</v>
      </c>
      <c r="BQ19" s="299">
        <f>SUM(BQ7:BQ18)</f>
        <v>3.266323415966028</v>
      </c>
      <c r="BR19" s="300"/>
      <c r="BS19" s="291"/>
      <c r="BT19" s="297"/>
      <c r="BU19" s="298" t="s">
        <v>5</v>
      </c>
      <c r="BV19" s="299">
        <f>SUM(BV7:BV18)</f>
        <v>3.9900309012547592</v>
      </c>
      <c r="BW19" s="300"/>
      <c r="BX19" s="291"/>
      <c r="BY19" s="297"/>
      <c r="BZ19" s="298" t="s">
        <v>5</v>
      </c>
      <c r="CA19" s="299">
        <f>SUM(CA7:CA18)</f>
        <v>7.680521167826561</v>
      </c>
      <c r="CB19" s="300"/>
      <c r="CD19" s="281"/>
      <c r="CE19" s="282" t="s">
        <v>587</v>
      </c>
      <c r="CF19" s="304">
        <f>1900.61/143</f>
        <v>13.29097902097902</v>
      </c>
      <c r="CI19" s="297"/>
      <c r="CJ19" s="298" t="s">
        <v>5</v>
      </c>
      <c r="CK19" s="299">
        <f>SUM(CK7:CK18)</f>
        <v>5.005192538492257</v>
      </c>
      <c r="CN19" s="281"/>
      <c r="CO19" s="282" t="s">
        <v>587</v>
      </c>
      <c r="CP19" s="304">
        <f>1992.58/164</f>
        <v>12.149878048780486</v>
      </c>
      <c r="CS19" s="281"/>
      <c r="CT19" s="282" t="s">
        <v>587</v>
      </c>
      <c r="CU19" s="304">
        <f>309.64/26</f>
        <v>11.909230769230769</v>
      </c>
      <c r="CX19" s="311"/>
      <c r="CY19" s="310" t="s">
        <v>604</v>
      </c>
      <c r="CZ19" s="308">
        <f>CZ18*1.03</f>
        <v>0.4268287631955109</v>
      </c>
      <c r="DA19" s="245"/>
      <c r="DC19" s="281">
        <v>5868</v>
      </c>
      <c r="DD19" s="30" t="s">
        <v>605</v>
      </c>
      <c r="DE19" s="31">
        <f>+insumos!$I$243*12</f>
        <v>0.22752</v>
      </c>
      <c r="DF19" s="1" t="s">
        <v>568</v>
      </c>
      <c r="DG19" s="1"/>
      <c r="DH19" s="281"/>
      <c r="DI19" s="307" t="s">
        <v>599</v>
      </c>
      <c r="DJ19" s="308">
        <f>+DJ17/DJ18</f>
        <v>0.46574050451269944</v>
      </c>
      <c r="DK19" s="245"/>
      <c r="DL19" s="1"/>
      <c r="DM19" s="297"/>
      <c r="DN19" s="298" t="s">
        <v>5</v>
      </c>
      <c r="DO19" s="299">
        <f>SUM(DO7:DO18)</f>
        <v>3.792399936275115</v>
      </c>
      <c r="DP19" s="300"/>
      <c r="DQ19" s="291"/>
      <c r="DR19" s="311"/>
      <c r="DS19" s="310" t="s">
        <v>604</v>
      </c>
      <c r="DT19" s="308">
        <f>DT18*1.03</f>
        <v>0.15483526404726974</v>
      </c>
      <c r="DU19" s="245"/>
      <c r="DV19" s="245"/>
      <c r="DW19" s="311"/>
      <c r="DX19" s="310" t="s">
        <v>604</v>
      </c>
      <c r="DY19" s="308">
        <f>DY18*1.03</f>
        <v>0.3773055662741747</v>
      </c>
      <c r="DZ19" s="245"/>
      <c r="EA19" s="245"/>
      <c r="EB19" s="291"/>
      <c r="EC19" s="1"/>
      <c r="EE19" s="1"/>
      <c r="EF19" s="1" t="s">
        <v>612</v>
      </c>
      <c r="EG19" s="1">
        <v>30</v>
      </c>
      <c r="EH19" s="245"/>
      <c r="EI19" s="245"/>
      <c r="EJ19" s="245"/>
    </row>
    <row r="20" spans="1:140" x14ac:dyDescent="0.25">
      <c r="A20" s="245"/>
      <c r="B20" s="281"/>
      <c r="C20" s="282" t="s">
        <v>587</v>
      </c>
      <c r="D20" s="281">
        <v>12.89</v>
      </c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63">
        <v>998006</v>
      </c>
      <c r="R20" s="264" t="s">
        <v>613</v>
      </c>
      <c r="S20" s="267"/>
      <c r="T20" s="245"/>
      <c r="U20" s="245"/>
      <c r="V20" s="263">
        <v>993032</v>
      </c>
      <c r="W20" s="264" t="s">
        <v>614</v>
      </c>
      <c r="X20" s="267"/>
      <c r="Y20" s="245"/>
      <c r="Z20" s="245"/>
      <c r="AA20" s="245"/>
      <c r="AB20" s="245"/>
      <c r="AC20" s="245"/>
      <c r="AD20" s="245"/>
      <c r="AE20" s="245"/>
      <c r="AF20" s="297"/>
      <c r="AG20" s="298" t="s">
        <v>5</v>
      </c>
      <c r="AH20" s="299">
        <f>SUM(AH7:AH15)</f>
        <v>2.7314269052747</v>
      </c>
      <c r="AI20" s="269"/>
      <c r="AJ20" s="245"/>
      <c r="AK20" s="263">
        <v>1987039</v>
      </c>
      <c r="AL20" s="264" t="s">
        <v>615</v>
      </c>
      <c r="AM20" s="267"/>
      <c r="AN20" s="245"/>
      <c r="AO20" s="245"/>
      <c r="AP20" s="281"/>
      <c r="AQ20" s="282" t="s">
        <v>587</v>
      </c>
      <c r="AR20" s="281">
        <v>10.5</v>
      </c>
      <c r="AS20" s="269"/>
      <c r="AU20" s="297"/>
      <c r="AV20" s="298" t="s">
        <v>5</v>
      </c>
      <c r="AW20" s="299">
        <f>SUM(AW7:AW19)</f>
        <v>6.761643683545123</v>
      </c>
      <c r="AX20" s="269"/>
      <c r="AZ20" s="281"/>
      <c r="BA20" s="282" t="s">
        <v>587</v>
      </c>
      <c r="BB20" s="304">
        <f>3178.57/286</f>
        <v>11.11388111888112</v>
      </c>
      <c r="BC20" s="269"/>
      <c r="BD20" s="245"/>
      <c r="BE20" s="281"/>
      <c r="BF20" s="282" t="s">
        <v>587</v>
      </c>
      <c r="BG20" s="304">
        <f>1659.9/151</f>
        <v>10.99271523178808</v>
      </c>
      <c r="BH20" s="269"/>
      <c r="BI20" s="245"/>
      <c r="BJ20" s="245"/>
      <c r="BK20" s="245"/>
      <c r="BL20" s="245"/>
      <c r="BM20" s="245"/>
      <c r="BN20" s="245"/>
      <c r="BO20" s="281"/>
      <c r="BP20" s="282" t="s">
        <v>587</v>
      </c>
      <c r="BQ20" s="304">
        <f>1766.6/164</f>
        <v>10.771951219512195</v>
      </c>
      <c r="BR20" s="269"/>
      <c r="BS20" s="245"/>
      <c r="BT20" s="281"/>
      <c r="BU20" s="282" t="s">
        <v>587</v>
      </c>
      <c r="BV20" s="304">
        <f>16204.12/1282</f>
        <v>12.639719188767552</v>
      </c>
      <c r="BW20" s="269"/>
      <c r="BX20" s="245"/>
      <c r="BY20" s="281"/>
      <c r="BZ20" s="282" t="s">
        <v>587</v>
      </c>
      <c r="CA20" s="304">
        <v>13.25</v>
      </c>
      <c r="CB20" s="269"/>
      <c r="CD20" s="281"/>
      <c r="CE20" s="307" t="s">
        <v>599</v>
      </c>
      <c r="CF20" s="308">
        <f>+CF18/CF19</f>
        <v>0.4502968351259224</v>
      </c>
      <c r="CG20" s="245"/>
      <c r="CH20" s="245"/>
      <c r="CI20" s="281"/>
      <c r="CJ20" s="282" t="s">
        <v>587</v>
      </c>
      <c r="CK20" s="304">
        <f>1042.85/124</f>
        <v>8.41008064516129</v>
      </c>
      <c r="CL20" s="245"/>
      <c r="CM20" s="245"/>
      <c r="CN20" s="281"/>
      <c r="CO20" s="307" t="s">
        <v>599</v>
      </c>
      <c r="CP20" s="308">
        <f>+CP18/CP19</f>
        <v>0.5331030335498179</v>
      </c>
      <c r="CQ20" s="245"/>
      <c r="CR20" s="245"/>
      <c r="CS20" s="281"/>
      <c r="CT20" s="307" t="s">
        <v>599</v>
      </c>
      <c r="CU20" s="308">
        <f>+CU18/CU19</f>
        <v>0.5447683433212055</v>
      </c>
      <c r="CV20" s="245"/>
      <c r="CW20" s="245"/>
      <c r="CX20" s="245"/>
      <c r="CY20" s="245"/>
      <c r="CZ20" s="245"/>
      <c r="DA20" s="245"/>
      <c r="DB20" s="245"/>
      <c r="DC20" s="297"/>
      <c r="DD20" s="298" t="s">
        <v>5</v>
      </c>
      <c r="DE20" s="299">
        <f>SUM(DE7:DE19)</f>
        <v>5.088569244431702</v>
      </c>
      <c r="DF20" s="245"/>
      <c r="DG20" s="245"/>
      <c r="DH20" s="311"/>
      <c r="DI20" s="307" t="s">
        <v>604</v>
      </c>
      <c r="DJ20" s="308">
        <f>DJ19*1.03</f>
        <v>0.47971271964808043</v>
      </c>
      <c r="DK20" s="245"/>
      <c r="DL20" s="245"/>
      <c r="DM20" s="281"/>
      <c r="DN20" s="282" t="s">
        <v>587</v>
      </c>
      <c r="DO20" s="304">
        <v>5.1</v>
      </c>
      <c r="DP20" s="269"/>
      <c r="DQ20" s="245"/>
      <c r="DR20" s="245"/>
      <c r="DS20" s="245"/>
      <c r="DT20" s="245"/>
      <c r="DU20" s="245"/>
      <c r="DV20" s="245"/>
      <c r="DW20" s="245"/>
      <c r="DX20" s="245"/>
      <c r="DY20" s="245"/>
      <c r="DZ20" s="245"/>
      <c r="EA20" s="245"/>
      <c r="EB20" s="245"/>
      <c r="EC20" s="245"/>
      <c r="ED20" s="245"/>
      <c r="EE20" s="1"/>
      <c r="EF20" s="314" t="s">
        <v>616</v>
      </c>
      <c r="EG20" s="314"/>
      <c r="EH20" s="245"/>
      <c r="EI20" s="245"/>
      <c r="EJ20" s="245"/>
    </row>
    <row r="21" spans="1:140" x14ac:dyDescent="0.25">
      <c r="A21" s="245"/>
      <c r="B21" s="281"/>
      <c r="C21" s="307" t="s">
        <v>599</v>
      </c>
      <c r="D21" s="308">
        <f>+D19/D20</f>
        <v>0.38771114131962586</v>
      </c>
      <c r="E21" s="245"/>
      <c r="F21" s="245"/>
      <c r="G21" s="263">
        <v>437024</v>
      </c>
      <c r="H21" s="264" t="s">
        <v>617</v>
      </c>
      <c r="I21" s="265">
        <v>538</v>
      </c>
      <c r="J21" s="266">
        <f>I21/E2</f>
        <v>13.36313959264779</v>
      </c>
      <c r="K21" s="245"/>
      <c r="L21" s="263">
        <v>436035</v>
      </c>
      <c r="M21" s="264" t="s">
        <v>618</v>
      </c>
      <c r="N21" s="265">
        <v>240</v>
      </c>
      <c r="O21" s="245">
        <f>N21/E2</f>
        <v>5.961251862891207</v>
      </c>
      <c r="P21" s="245"/>
      <c r="Q21" s="275" t="s">
        <v>492</v>
      </c>
      <c r="R21" s="276" t="s">
        <v>495</v>
      </c>
      <c r="S21" s="275" t="s">
        <v>467</v>
      </c>
      <c r="T21" s="245"/>
      <c r="U21" s="245"/>
      <c r="V21" s="275" t="s">
        <v>492</v>
      </c>
      <c r="W21" s="276" t="s">
        <v>495</v>
      </c>
      <c r="X21" s="275" t="s">
        <v>467</v>
      </c>
      <c r="Y21" s="245"/>
      <c r="Z21" s="245"/>
      <c r="AA21" s="263">
        <v>991420</v>
      </c>
      <c r="AB21" s="264" t="s">
        <v>619</v>
      </c>
      <c r="AC21" s="267"/>
      <c r="AD21" s="245"/>
      <c r="AE21" s="245"/>
      <c r="AF21" s="281"/>
      <c r="AG21" s="282" t="s">
        <v>587</v>
      </c>
      <c r="AH21" s="281">
        <v>12.62</v>
      </c>
      <c r="AI21" s="245"/>
      <c r="AJ21" s="245"/>
      <c r="AK21" s="275" t="s">
        <v>492</v>
      </c>
      <c r="AL21" s="276" t="s">
        <v>495</v>
      </c>
      <c r="AM21" s="275" t="s">
        <v>467</v>
      </c>
      <c r="AN21" s="245"/>
      <c r="AO21" s="245"/>
      <c r="AP21" s="281"/>
      <c r="AQ21" s="307" t="s">
        <v>599</v>
      </c>
      <c r="AR21" s="308">
        <f>+AR19/AR20</f>
        <v>0.5783460878853153</v>
      </c>
      <c r="AS21" s="269"/>
      <c r="AU21" s="281"/>
      <c r="AV21" s="282" t="s">
        <v>587</v>
      </c>
      <c r="AW21" s="281">
        <v>11.3</v>
      </c>
      <c r="AX21" s="269"/>
      <c r="AZ21" s="281"/>
      <c r="BA21" s="307" t="s">
        <v>599</v>
      </c>
      <c r="BB21" s="308">
        <f>+BB19/BB20</f>
        <v>0.41715793595683803</v>
      </c>
      <c r="BC21" s="269"/>
      <c r="BD21" s="245"/>
      <c r="BE21" s="281"/>
      <c r="BF21" s="307" t="s">
        <v>599</v>
      </c>
      <c r="BG21" s="308">
        <f>+BG19/BG20</f>
        <v>0.427603963071992</v>
      </c>
      <c r="BH21" s="269"/>
      <c r="BI21" s="245"/>
      <c r="BJ21" s="245"/>
      <c r="BK21" s="245"/>
      <c r="BL21" s="245"/>
      <c r="BM21" s="245"/>
      <c r="BN21" s="245"/>
      <c r="BO21" s="281"/>
      <c r="BP21" s="307" t="s">
        <v>599</v>
      </c>
      <c r="BQ21" s="308">
        <f>+BQ19/BQ20</f>
        <v>0.3032248614391649</v>
      </c>
      <c r="BR21" s="269"/>
      <c r="BS21" s="245"/>
      <c r="BT21" s="281"/>
      <c r="BU21" s="307" t="s">
        <v>599</v>
      </c>
      <c r="BV21" s="308">
        <f>+BV19/BV20</f>
        <v>0.31567401472024403</v>
      </c>
      <c r="BW21" s="269"/>
      <c r="BX21" s="245"/>
      <c r="BY21" s="281"/>
      <c r="BZ21" s="307" t="s">
        <v>599</v>
      </c>
      <c r="CA21" s="308">
        <f>+CA19/CA20</f>
        <v>0.5796619749303065</v>
      </c>
      <c r="CB21" s="269"/>
      <c r="CD21" s="311"/>
      <c r="CE21" s="307" t="s">
        <v>604</v>
      </c>
      <c r="CF21" s="308">
        <f>CF20*1.03</f>
        <v>0.46380574017970005</v>
      </c>
      <c r="CG21" s="245"/>
      <c r="CH21" s="245"/>
      <c r="CI21" s="281"/>
      <c r="CJ21" s="307" t="s">
        <v>599</v>
      </c>
      <c r="CK21" s="308">
        <f>+CK19/CK20</f>
        <v>0.5951420384264658</v>
      </c>
      <c r="CL21" s="269"/>
      <c r="CM21" s="245"/>
      <c r="CN21" s="311"/>
      <c r="CO21" s="307" t="s">
        <v>604</v>
      </c>
      <c r="CP21" s="308">
        <f>CP20*1.03</f>
        <v>0.5490961245563125</v>
      </c>
      <c r="CQ21" s="245"/>
      <c r="CR21" s="245"/>
      <c r="CS21" s="311"/>
      <c r="CT21" s="307" t="s">
        <v>604</v>
      </c>
      <c r="CU21" s="308">
        <f>CU20*1.03</f>
        <v>0.5611113936208417</v>
      </c>
      <c r="CV21" s="245"/>
      <c r="CW21" s="245"/>
      <c r="CX21" s="263">
        <v>3193572</v>
      </c>
      <c r="CY21" s="264" t="s">
        <v>620</v>
      </c>
      <c r="CZ21" s="267"/>
      <c r="DA21" s="245"/>
      <c r="DB21" s="245"/>
      <c r="DC21" s="281"/>
      <c r="DD21" s="282" t="s">
        <v>587</v>
      </c>
      <c r="DE21" s="304">
        <f>4724.26/388</f>
        <v>12.175927835051548</v>
      </c>
      <c r="DF21" s="245"/>
      <c r="DG21" s="245"/>
      <c r="DH21" s="245"/>
      <c r="DI21" s="245"/>
      <c r="DJ21" s="245"/>
      <c r="DK21" s="245"/>
      <c r="DL21" s="245"/>
      <c r="DM21" s="281"/>
      <c r="DN21" s="307" t="s">
        <v>599</v>
      </c>
      <c r="DO21" s="308">
        <f>+DO19/DO20</f>
        <v>0.7436078306421794</v>
      </c>
      <c r="DP21" s="269"/>
      <c r="DQ21" s="245"/>
      <c r="DR21" s="263">
        <v>6112731</v>
      </c>
      <c r="DS21" s="264" t="s">
        <v>621</v>
      </c>
      <c r="DT21" s="265"/>
      <c r="DU21" s="245"/>
      <c r="DV21" s="245"/>
      <c r="DW21" s="263">
        <v>2366136</v>
      </c>
      <c r="DX21" s="264" t="s">
        <v>622</v>
      </c>
      <c r="DY21" s="265"/>
      <c r="DZ21" s="245"/>
      <c r="EA21" s="245"/>
      <c r="EB21" s="245"/>
      <c r="EC21" s="245"/>
      <c r="ED21" s="245"/>
      <c r="EE21" s="1"/>
      <c r="EF21" s="1" t="s">
        <v>623</v>
      </c>
      <c r="EG21" s="1" t="s">
        <v>624</v>
      </c>
      <c r="EH21" s="245"/>
      <c r="EI21" s="245"/>
      <c r="EJ21" s="245"/>
    </row>
    <row r="22" spans="1:140" x14ac:dyDescent="0.25">
      <c r="A22" s="245"/>
      <c r="B22" s="311"/>
      <c r="C22" s="307" t="s">
        <v>604</v>
      </c>
      <c r="D22" s="308">
        <f>D21*1.03</f>
        <v>0.39934247555921465</v>
      </c>
      <c r="E22" s="245"/>
      <c r="F22" s="245"/>
      <c r="G22" s="275" t="s">
        <v>492</v>
      </c>
      <c r="H22" s="277" t="s">
        <v>495</v>
      </c>
      <c r="I22" s="275" t="s">
        <v>467</v>
      </c>
      <c r="J22" s="245"/>
      <c r="K22" s="245"/>
      <c r="L22" s="275" t="s">
        <v>492</v>
      </c>
      <c r="M22" s="277" t="s">
        <v>495</v>
      </c>
      <c r="N22" s="275" t="s">
        <v>467</v>
      </c>
      <c r="O22" s="245"/>
      <c r="P22" s="245"/>
      <c r="Q22" s="278"/>
      <c r="R22" s="279" t="s">
        <v>134</v>
      </c>
      <c r="S22" s="278"/>
      <c r="T22" s="245"/>
      <c r="U22" s="245"/>
      <c r="V22" s="278"/>
      <c r="W22" s="279" t="s">
        <v>134</v>
      </c>
      <c r="X22" s="278"/>
      <c r="Y22" s="245"/>
      <c r="Z22" s="245"/>
      <c r="AA22" s="275" t="s">
        <v>492</v>
      </c>
      <c r="AB22" s="276" t="s">
        <v>495</v>
      </c>
      <c r="AC22" s="275" t="s">
        <v>467</v>
      </c>
      <c r="AD22" s="245"/>
      <c r="AE22" s="245"/>
      <c r="AF22" s="281"/>
      <c r="AG22" s="307" t="s">
        <v>599</v>
      </c>
      <c r="AH22" s="308">
        <f>+AH20/AH21</f>
        <v>0.2164363633339699</v>
      </c>
      <c r="AI22" s="245"/>
      <c r="AJ22" s="245"/>
      <c r="AK22" s="278"/>
      <c r="AL22" s="279" t="s">
        <v>134</v>
      </c>
      <c r="AM22" s="278"/>
      <c r="AN22" s="245"/>
      <c r="AO22" s="245"/>
      <c r="AP22" s="311"/>
      <c r="AQ22" s="307" t="s">
        <v>604</v>
      </c>
      <c r="AR22" s="308">
        <f>AR21*1.03</f>
        <v>0.5956964705218748</v>
      </c>
      <c r="AS22" s="269"/>
      <c r="AU22" s="281"/>
      <c r="AV22" s="307" t="s">
        <v>599</v>
      </c>
      <c r="AW22" s="308">
        <f>+AW20/AW21</f>
        <v>0.5983755472163825</v>
      </c>
      <c r="AX22" s="269"/>
      <c r="AZ22" s="311"/>
      <c r="BA22" s="307" t="s">
        <v>604</v>
      </c>
      <c r="BB22" s="308">
        <f>BB21*1.03</f>
        <v>0.4296726740355432</v>
      </c>
      <c r="BC22" s="269"/>
      <c r="BD22" s="245"/>
      <c r="BE22" s="311"/>
      <c r="BF22" s="307" t="s">
        <v>604</v>
      </c>
      <c r="BG22" s="308">
        <f>BG21*1.03</f>
        <v>0.4404320819641518</v>
      </c>
      <c r="BH22" s="269"/>
      <c r="BI22" s="245"/>
      <c r="BJ22" s="245"/>
      <c r="BK22" s="245"/>
      <c r="BL22" s="245"/>
      <c r="BM22" s="245"/>
      <c r="BN22" s="245"/>
      <c r="BO22" s="311"/>
      <c r="BP22" s="307" t="s">
        <v>604</v>
      </c>
      <c r="BQ22" s="308">
        <f>BQ21*1.03</f>
        <v>0.3123216072823398</v>
      </c>
      <c r="BR22" s="269"/>
      <c r="BS22" s="245"/>
      <c r="BT22" s="311"/>
      <c r="BU22" s="307" t="s">
        <v>604</v>
      </c>
      <c r="BV22" s="308">
        <f>BV21*1.03</f>
        <v>0.32514423516185137</v>
      </c>
      <c r="BW22" s="269"/>
      <c r="BX22" s="245"/>
      <c r="BY22" s="311"/>
      <c r="BZ22" s="307" t="s">
        <v>604</v>
      </c>
      <c r="CA22" s="308">
        <f>CA21*1.03</f>
        <v>0.5970518341782157</v>
      </c>
      <c r="CB22" s="269"/>
      <c r="CC22" s="245"/>
      <c r="CD22" s="245"/>
      <c r="CE22" s="245"/>
      <c r="CF22" s="245"/>
      <c r="CG22" s="245"/>
      <c r="CH22" s="245"/>
      <c r="CI22" s="311"/>
      <c r="CJ22" s="307" t="s">
        <v>604</v>
      </c>
      <c r="CK22" s="308">
        <f>CK21*1.03</f>
        <v>0.6129962995792598</v>
      </c>
      <c r="CL22" s="269"/>
      <c r="CM22" s="245"/>
      <c r="CN22" s="245"/>
      <c r="CO22" s="245"/>
      <c r="CP22" s="245"/>
      <c r="CQ22" s="245"/>
      <c r="CR22" s="245"/>
      <c r="CS22" s="245"/>
      <c r="CT22" s="245"/>
      <c r="CU22" s="245"/>
      <c r="CV22" s="245"/>
      <c r="CW22" s="245"/>
      <c r="CX22" s="275" t="s">
        <v>492</v>
      </c>
      <c r="CY22" s="276" t="s">
        <v>495</v>
      </c>
      <c r="CZ22" s="275" t="s">
        <v>467</v>
      </c>
      <c r="DA22" s="245"/>
      <c r="DB22" s="245"/>
      <c r="DC22" s="281"/>
      <c r="DD22" s="307" t="s">
        <v>599</v>
      </c>
      <c r="DE22" s="308">
        <f>+DE20/DE21</f>
        <v>0.4179204503646074</v>
      </c>
      <c r="DF22" s="245"/>
      <c r="DG22" s="245"/>
      <c r="DH22" s="263">
        <v>5516072</v>
      </c>
      <c r="DI22" s="264" t="s">
        <v>625</v>
      </c>
      <c r="DJ22" s="267"/>
      <c r="DK22" s="245"/>
      <c r="DL22" s="245"/>
      <c r="DM22" s="311"/>
      <c r="DN22" s="307" t="s">
        <v>604</v>
      </c>
      <c r="DO22" s="308">
        <f>DO21*1.03</f>
        <v>0.7659160655614448</v>
      </c>
      <c r="DP22" s="269"/>
      <c r="DQ22" s="245"/>
      <c r="DR22" s="275" t="s">
        <v>492</v>
      </c>
      <c r="DS22" s="277" t="s">
        <v>495</v>
      </c>
      <c r="DT22" s="275" t="s">
        <v>467</v>
      </c>
      <c r="DU22" s="245"/>
      <c r="DV22" s="245"/>
      <c r="DW22" s="275" t="s">
        <v>492</v>
      </c>
      <c r="DX22" s="277" t="s">
        <v>495</v>
      </c>
      <c r="DY22" s="275" t="s">
        <v>467</v>
      </c>
      <c r="DZ22" s="245"/>
      <c r="EA22" s="245"/>
      <c r="EB22" s="245"/>
      <c r="EC22" s="245"/>
      <c r="ED22" s="245"/>
      <c r="EE22" s="1"/>
      <c r="EF22" s="1"/>
      <c r="EG22" s="1" t="s">
        <v>626</v>
      </c>
      <c r="EH22" s="245"/>
      <c r="EI22" s="245"/>
      <c r="EJ22" s="245"/>
    </row>
    <row r="23" spans="1:140" x14ac:dyDescent="0.25">
      <c r="A23" s="245"/>
      <c r="F23" s="245"/>
      <c r="G23" s="278"/>
      <c r="H23" s="280" t="s">
        <v>134</v>
      </c>
      <c r="I23" s="278"/>
      <c r="J23" s="245"/>
      <c r="K23" s="245"/>
      <c r="L23" s="278"/>
      <c r="M23" s="280" t="s">
        <v>134</v>
      </c>
      <c r="N23" s="278"/>
      <c r="O23" s="245"/>
      <c r="P23" s="245"/>
      <c r="Q23" s="281">
        <v>6184</v>
      </c>
      <c r="R23" s="1" t="s">
        <v>502</v>
      </c>
      <c r="S23" s="283">
        <f>insumos!$H$215</f>
        <v>0.6</v>
      </c>
      <c r="T23" s="245"/>
      <c r="U23" s="245"/>
      <c r="V23" s="281">
        <v>6184</v>
      </c>
      <c r="W23" s="1" t="s">
        <v>502</v>
      </c>
      <c r="X23" s="283">
        <f>insumos!$H$215</f>
        <v>0.6</v>
      </c>
      <c r="Y23" s="245"/>
      <c r="Z23" s="245"/>
      <c r="AA23" s="278"/>
      <c r="AB23" s="279" t="s">
        <v>134</v>
      </c>
      <c r="AC23" s="278"/>
      <c r="AD23" s="245"/>
      <c r="AE23" s="245"/>
      <c r="AF23" s="311"/>
      <c r="AG23" s="307" t="s">
        <v>604</v>
      </c>
      <c r="AH23" s="308">
        <f>AH22*1.03</f>
        <v>0.222929454233989</v>
      </c>
      <c r="AI23" s="245"/>
      <c r="AJ23" s="245"/>
      <c r="AK23" s="281">
        <v>6184</v>
      </c>
      <c r="AL23" s="1" t="s">
        <v>502</v>
      </c>
      <c r="AM23" s="283">
        <f>insumos!$H$215</f>
        <v>0.6</v>
      </c>
      <c r="AN23" s="245"/>
      <c r="AO23" s="245"/>
      <c r="AP23" s="245"/>
      <c r="AQ23" s="245"/>
      <c r="AR23" s="245"/>
      <c r="AS23" s="269"/>
      <c r="AU23" s="311"/>
      <c r="AV23" s="307" t="s">
        <v>604</v>
      </c>
      <c r="AW23" s="308">
        <f>AW22*1.03</f>
        <v>0.616326813632874</v>
      </c>
      <c r="AX23" s="269"/>
      <c r="BC23" s="245"/>
      <c r="BD23" s="245"/>
      <c r="BE23" s="245"/>
      <c r="BF23" s="245"/>
      <c r="BG23" s="245"/>
      <c r="BH23" s="245"/>
      <c r="BI23" s="245"/>
      <c r="BJ23" s="245"/>
      <c r="BK23" s="245"/>
      <c r="BL23" s="245"/>
      <c r="BM23" s="245"/>
      <c r="BN23" s="245"/>
      <c r="BO23" s="245"/>
      <c r="BP23" s="245"/>
      <c r="BQ23" s="245"/>
      <c r="BR23" s="245"/>
      <c r="BS23" s="245"/>
      <c r="BT23" s="245"/>
      <c r="BU23" s="245"/>
      <c r="BV23" s="245"/>
      <c r="BW23" s="245"/>
      <c r="BX23" s="245"/>
      <c r="BY23" s="245"/>
      <c r="BZ23" s="245"/>
      <c r="CA23" s="245"/>
      <c r="CB23" s="245"/>
      <c r="CC23" s="245"/>
      <c r="CD23" s="263">
        <v>4545460</v>
      </c>
      <c r="CE23" s="264" t="s">
        <v>627</v>
      </c>
      <c r="CF23" s="267"/>
      <c r="CG23" s="269"/>
      <c r="CH23" s="245"/>
      <c r="CI23" s="245"/>
      <c r="CJ23" s="245"/>
      <c r="CK23" s="245"/>
      <c r="CL23" s="245"/>
      <c r="CM23" s="245"/>
      <c r="CN23" s="259">
        <v>4858460</v>
      </c>
      <c r="CO23" s="260" t="s">
        <v>628</v>
      </c>
      <c r="CP23" s="259"/>
      <c r="CQ23" s="272"/>
      <c r="CR23" s="245"/>
      <c r="CS23" s="263">
        <v>6173460</v>
      </c>
      <c r="CT23" s="264" t="s">
        <v>629</v>
      </c>
      <c r="CU23" s="267"/>
      <c r="CV23" s="245"/>
      <c r="CW23" s="245"/>
      <c r="CX23" s="278"/>
      <c r="CY23" s="279" t="s">
        <v>134</v>
      </c>
      <c r="CZ23" s="278"/>
      <c r="DA23" s="245"/>
      <c r="DB23" s="245"/>
      <c r="DC23" s="311"/>
      <c r="DD23" s="307" t="s">
        <v>604</v>
      </c>
      <c r="DE23" s="308">
        <f>DE22*1.03</f>
        <v>0.43045806387554564</v>
      </c>
      <c r="DF23" s="245"/>
      <c r="DG23" s="245"/>
      <c r="DH23" s="275" t="s">
        <v>492</v>
      </c>
      <c r="DI23" s="276" t="s">
        <v>495</v>
      </c>
      <c r="DJ23" s="275" t="s">
        <v>467</v>
      </c>
      <c r="DK23" s="245"/>
      <c r="DL23" s="245"/>
      <c r="DM23" s="245"/>
      <c r="DN23" s="245"/>
      <c r="DO23" s="245"/>
      <c r="DP23" s="245"/>
      <c r="DQ23" s="245"/>
      <c r="DR23" s="278"/>
      <c r="DS23" s="280" t="s">
        <v>134</v>
      </c>
      <c r="DT23" s="278"/>
      <c r="DU23" s="245"/>
      <c r="DV23" s="245"/>
      <c r="DW23" s="278"/>
      <c r="DX23" s="280" t="s">
        <v>134</v>
      </c>
      <c r="DY23" s="278"/>
      <c r="DZ23" s="245"/>
      <c r="EA23" s="245"/>
      <c r="EB23" s="245"/>
      <c r="EC23" s="245"/>
      <c r="ED23" s="245"/>
      <c r="EE23" s="245"/>
      <c r="EF23" s="305" t="s">
        <v>604</v>
      </c>
      <c r="EG23" s="306"/>
      <c r="EH23" s="306">
        <f>EL16*1.03</f>
        <v>0.07706910466385172</v>
      </c>
      <c r="EI23" s="245"/>
      <c r="EJ23" s="245"/>
    </row>
    <row r="24" spans="1:140" x14ac:dyDescent="0.25">
      <c r="A24" s="245"/>
      <c r="B24" s="263">
        <v>439011</v>
      </c>
      <c r="C24" s="264" t="s">
        <v>630</v>
      </c>
      <c r="D24" s="271">
        <f>595</f>
        <v>595</v>
      </c>
      <c r="E24" s="272">
        <f>D24/E2</f>
        <v>14.778936910084452</v>
      </c>
      <c r="F24" s="245"/>
      <c r="G24" s="281">
        <v>5524</v>
      </c>
      <c r="H24" s="1" t="s">
        <v>501</v>
      </c>
      <c r="I24" s="283">
        <f>insumos!$H$217</f>
        <v>0.8950000000000001</v>
      </c>
      <c r="J24" s="284"/>
      <c r="K24" s="285"/>
      <c r="L24" s="281">
        <v>5524</v>
      </c>
      <c r="M24" s="1" t="s">
        <v>501</v>
      </c>
      <c r="N24" s="283">
        <f>insumos!$H$217</f>
        <v>0.8950000000000001</v>
      </c>
      <c r="O24" s="285"/>
      <c r="P24" s="245"/>
      <c r="Q24" s="281">
        <v>2037</v>
      </c>
      <c r="R24" s="282" t="s">
        <v>511</v>
      </c>
      <c r="S24" s="283">
        <f>+insumos!$H$268</f>
        <v>0.65</v>
      </c>
      <c r="T24" s="245"/>
      <c r="U24" s="245"/>
      <c r="V24" s="281">
        <v>2037</v>
      </c>
      <c r="W24" s="282" t="s">
        <v>511</v>
      </c>
      <c r="X24" s="283">
        <f>+insumos!H268</f>
        <v>0.65</v>
      </c>
      <c r="Y24" s="245"/>
      <c r="Z24" s="245"/>
      <c r="AA24" s="281">
        <v>6184</v>
      </c>
      <c r="AB24" s="1" t="s">
        <v>502</v>
      </c>
      <c r="AC24" s="283">
        <f>insumos!$H$215</f>
        <v>0.6</v>
      </c>
      <c r="AD24" s="245"/>
      <c r="AE24" s="245"/>
      <c r="AF24" s="245"/>
      <c r="AG24" s="245"/>
      <c r="AH24" s="245"/>
      <c r="AI24" s="245"/>
      <c r="AJ24" s="245"/>
      <c r="AK24" s="281">
        <v>5523</v>
      </c>
      <c r="AL24" s="282" t="s">
        <v>508</v>
      </c>
      <c r="AM24" s="283">
        <f>+insumos!$H$285</f>
        <v>1.1829611337771098</v>
      </c>
      <c r="AN24" s="245"/>
      <c r="AO24" s="245"/>
      <c r="AP24" s="263">
        <v>3673931</v>
      </c>
      <c r="AQ24" s="264" t="s">
        <v>631</v>
      </c>
      <c r="AR24" s="267"/>
      <c r="AS24" s="269"/>
      <c r="AZ24" s="263">
        <v>441033</v>
      </c>
      <c r="BA24" s="264" t="s">
        <v>632</v>
      </c>
      <c r="BB24" s="267"/>
      <c r="BC24" s="269"/>
      <c r="BD24" s="245"/>
      <c r="BE24" s="263">
        <v>442070</v>
      </c>
      <c r="BF24" s="264" t="s">
        <v>633</v>
      </c>
      <c r="BG24" s="267"/>
      <c r="BH24" s="269"/>
      <c r="BI24" s="245"/>
      <c r="BJ24" s="245"/>
      <c r="BK24" s="245"/>
      <c r="BL24" s="245"/>
      <c r="BM24" s="245"/>
      <c r="BN24" s="245"/>
      <c r="BO24" s="263">
        <v>3516460</v>
      </c>
      <c r="BP24" s="264" t="s">
        <v>634</v>
      </c>
      <c r="BQ24" s="267"/>
      <c r="BR24" s="269"/>
      <c r="BS24" s="245"/>
      <c r="BT24" s="263">
        <v>4516160</v>
      </c>
      <c r="BU24" s="264" t="s">
        <v>635</v>
      </c>
      <c r="BV24" s="267"/>
      <c r="BW24" s="269"/>
      <c r="BX24" s="245"/>
      <c r="BY24" s="263">
        <v>4543860</v>
      </c>
      <c r="BZ24" s="264" t="s">
        <v>636</v>
      </c>
      <c r="CA24" s="267"/>
      <c r="CB24" s="269"/>
      <c r="CC24" s="245"/>
      <c r="CD24" s="275" t="s">
        <v>492</v>
      </c>
      <c r="CE24" s="276" t="s">
        <v>495</v>
      </c>
      <c r="CF24" s="275" t="s">
        <v>467</v>
      </c>
      <c r="CG24" s="269"/>
      <c r="CH24" s="245"/>
      <c r="CI24" s="263">
        <v>4546931</v>
      </c>
      <c r="CJ24" s="264" t="s">
        <v>637</v>
      </c>
      <c r="CK24" s="267"/>
      <c r="CL24" s="269"/>
      <c r="CM24" s="245"/>
      <c r="CN24" s="275" t="s">
        <v>492</v>
      </c>
      <c r="CO24" s="276" t="s">
        <v>495</v>
      </c>
      <c r="CP24" s="275" t="s">
        <v>467</v>
      </c>
      <c r="CQ24" s="245"/>
      <c r="CR24" s="245"/>
      <c r="CS24" s="275" t="s">
        <v>492</v>
      </c>
      <c r="CT24" s="276" t="s">
        <v>495</v>
      </c>
      <c r="CU24" s="275" t="s">
        <v>467</v>
      </c>
      <c r="CV24" s="245"/>
      <c r="CW24" s="245"/>
      <c r="CX24" s="281">
        <v>3741</v>
      </c>
      <c r="CY24" s="1" t="s">
        <v>504</v>
      </c>
      <c r="CZ24" s="283">
        <f>insumos!$G$213</f>
        <v>0.8355871886120997</v>
      </c>
      <c r="DA24" s="245"/>
      <c r="DB24" s="245"/>
      <c r="DC24" s="245"/>
      <c r="DD24" s="245"/>
      <c r="DE24" s="245"/>
      <c r="DF24" s="245"/>
      <c r="DG24" s="245"/>
      <c r="DH24" s="278"/>
      <c r="DI24" s="279" t="s">
        <v>134</v>
      </c>
      <c r="DJ24" s="278"/>
      <c r="DK24" s="245"/>
      <c r="DL24" s="245"/>
      <c r="DM24" s="263">
        <v>1993929</v>
      </c>
      <c r="DN24" s="264" t="s">
        <v>638</v>
      </c>
      <c r="DO24" s="267"/>
      <c r="DP24" s="269"/>
      <c r="DQ24" s="245"/>
      <c r="DR24" s="281">
        <v>5524</v>
      </c>
      <c r="DS24" s="1" t="s">
        <v>501</v>
      </c>
      <c r="DT24" s="283">
        <f>insumos!$H$217</f>
        <v>0.8950000000000001</v>
      </c>
      <c r="DU24" s="285"/>
      <c r="DV24" s="285"/>
      <c r="DW24" s="281">
        <v>5524</v>
      </c>
      <c r="DX24" s="1" t="s">
        <v>501</v>
      </c>
      <c r="DY24" s="283">
        <f>insumos!$H$217</f>
        <v>0.8950000000000001</v>
      </c>
      <c r="DZ24" s="285"/>
      <c r="EA24" s="285"/>
      <c r="EB24" s="245"/>
      <c r="EC24" s="245"/>
      <c r="ED24" s="245"/>
      <c r="EE24" s="245"/>
      <c r="EF24" s="245"/>
      <c r="EG24" s="245"/>
      <c r="EH24" s="245"/>
      <c r="EI24" s="245"/>
      <c r="EJ24" s="245"/>
    </row>
    <row r="25" spans="1:140" x14ac:dyDescent="0.25">
      <c r="A25" s="245"/>
      <c r="B25" s="275" t="s">
        <v>492</v>
      </c>
      <c r="C25" s="276" t="s">
        <v>495</v>
      </c>
      <c r="D25" s="275" t="s">
        <v>467</v>
      </c>
      <c r="E25" s="269"/>
      <c r="F25" s="245"/>
      <c r="G25" s="281">
        <v>5523</v>
      </c>
      <c r="H25" s="282" t="s">
        <v>508</v>
      </c>
      <c r="I25" s="283">
        <f>+insumos!$H$285</f>
        <v>1.1829611337771098</v>
      </c>
      <c r="J25" s="284"/>
      <c r="K25" s="285"/>
      <c r="L25" s="26" t="s">
        <v>513</v>
      </c>
      <c r="M25" s="30" t="s">
        <v>514</v>
      </c>
      <c r="N25" s="283">
        <f>+insumos!$H$266</f>
        <v>1.1500000000000001</v>
      </c>
      <c r="O25" s="285"/>
      <c r="P25" s="245"/>
      <c r="Q25" s="281">
        <v>4542</v>
      </c>
      <c r="R25" s="282" t="s">
        <v>527</v>
      </c>
      <c r="S25" s="283">
        <f>insumos!$I$35</f>
        <v>0.022058823529411763</v>
      </c>
      <c r="T25" s="245"/>
      <c r="U25" s="245"/>
      <c r="V25" s="281">
        <v>4542</v>
      </c>
      <c r="W25" s="282" t="s">
        <v>527</v>
      </c>
      <c r="X25" s="283">
        <f>insumos!I35</f>
        <v>0.022058823529411763</v>
      </c>
      <c r="Y25" s="245"/>
      <c r="Z25" s="245"/>
      <c r="AA25" s="281">
        <v>2037</v>
      </c>
      <c r="AB25" s="282" t="s">
        <v>511</v>
      </c>
      <c r="AC25" s="283">
        <f>+insumos!$H$268</f>
        <v>0.65</v>
      </c>
      <c r="AD25" s="245"/>
      <c r="AE25" s="245"/>
      <c r="AF25" s="263">
        <v>885407</v>
      </c>
      <c r="AG25" s="268" t="s">
        <v>639</v>
      </c>
      <c r="AH25" s="267"/>
      <c r="AI25" s="269"/>
      <c r="AJ25" s="245"/>
      <c r="AK25" s="281">
        <v>4542</v>
      </c>
      <c r="AL25" s="282" t="s">
        <v>527</v>
      </c>
      <c r="AM25" s="283">
        <f>insumos!$I$35</f>
        <v>0.022058823529411763</v>
      </c>
      <c r="AN25" s="245"/>
      <c r="AO25" s="245"/>
      <c r="AP25" s="275" t="s">
        <v>492</v>
      </c>
      <c r="AQ25" s="276" t="s">
        <v>495</v>
      </c>
      <c r="AR25" s="275" t="s">
        <v>467</v>
      </c>
      <c r="AS25" s="269"/>
      <c r="AZ25" s="275" t="s">
        <v>492</v>
      </c>
      <c r="BA25" s="276" t="s">
        <v>495</v>
      </c>
      <c r="BB25" s="275" t="s">
        <v>467</v>
      </c>
      <c r="BC25" s="269"/>
      <c r="BD25" s="245"/>
      <c r="BE25" s="275" t="s">
        <v>492</v>
      </c>
      <c r="BF25" s="276" t="s">
        <v>495</v>
      </c>
      <c r="BG25" s="275" t="s">
        <v>467</v>
      </c>
      <c r="BH25" s="269"/>
      <c r="BI25" s="245"/>
      <c r="BJ25" s="245"/>
      <c r="BK25" s="245"/>
      <c r="BL25" s="245"/>
      <c r="BM25" s="245"/>
      <c r="BN25" s="245"/>
      <c r="BO25" s="275" t="s">
        <v>492</v>
      </c>
      <c r="BP25" s="276" t="s">
        <v>495</v>
      </c>
      <c r="BQ25" s="275" t="s">
        <v>467</v>
      </c>
      <c r="BR25" s="269"/>
      <c r="BS25" s="245"/>
      <c r="BT25" s="275" t="s">
        <v>492</v>
      </c>
      <c r="BU25" s="276" t="s">
        <v>495</v>
      </c>
      <c r="BV25" s="275" t="s">
        <v>467</v>
      </c>
      <c r="BW25" s="269"/>
      <c r="BX25" s="245"/>
      <c r="BY25" s="275" t="s">
        <v>492</v>
      </c>
      <c r="BZ25" s="276" t="s">
        <v>495</v>
      </c>
      <c r="CA25" s="275" t="s">
        <v>467</v>
      </c>
      <c r="CB25" s="269"/>
      <c r="CC25" s="245"/>
      <c r="CD25" s="278"/>
      <c r="CE25" s="279" t="s">
        <v>134</v>
      </c>
      <c r="CF25" s="278"/>
      <c r="CG25" s="269"/>
      <c r="CH25" s="245"/>
      <c r="CI25" s="275" t="s">
        <v>492</v>
      </c>
      <c r="CJ25" s="276" t="s">
        <v>495</v>
      </c>
      <c r="CK25" s="275" t="s">
        <v>467</v>
      </c>
      <c r="CL25" s="269"/>
      <c r="CM25" s="245"/>
      <c r="CN25" s="278"/>
      <c r="CO25" s="279" t="s">
        <v>134</v>
      </c>
      <c r="CP25" s="278"/>
      <c r="CQ25" s="245"/>
      <c r="CR25" s="245"/>
      <c r="CS25" s="278"/>
      <c r="CT25" s="279" t="s">
        <v>134</v>
      </c>
      <c r="CU25" s="278"/>
      <c r="CV25" s="245"/>
      <c r="CW25" s="245"/>
      <c r="CX25" s="281">
        <v>3759</v>
      </c>
      <c r="CY25" s="30" t="s">
        <v>507</v>
      </c>
      <c r="CZ25" s="283">
        <f>+insumos!$G$284</f>
        <v>1.1352416613292604</v>
      </c>
      <c r="DA25" s="245"/>
      <c r="DB25" s="245"/>
      <c r="DC25" s="263">
        <v>4861032</v>
      </c>
      <c r="DD25" s="264" t="s">
        <v>640</v>
      </c>
      <c r="DE25" s="265"/>
      <c r="DF25" s="245"/>
      <c r="DG25" s="245"/>
      <c r="DH25" s="281">
        <v>3741</v>
      </c>
      <c r="DI25" s="282" t="s">
        <v>500</v>
      </c>
      <c r="DJ25" s="283">
        <f>insumos!$G$213</f>
        <v>0.8355871886120997</v>
      </c>
      <c r="DK25" s="245"/>
      <c r="DL25" s="245"/>
      <c r="DM25" s="275" t="s">
        <v>492</v>
      </c>
      <c r="DN25" s="276" t="s">
        <v>495</v>
      </c>
      <c r="DO25" s="275" t="s">
        <v>467</v>
      </c>
      <c r="DP25" s="269"/>
      <c r="DQ25" s="245"/>
      <c r="DR25" s="26" t="s">
        <v>513</v>
      </c>
      <c r="DS25" s="30" t="s">
        <v>514</v>
      </c>
      <c r="DT25" s="283">
        <f>+insumos!$H$266</f>
        <v>1.1500000000000001</v>
      </c>
      <c r="DU25" s="285"/>
      <c r="DV25" s="285"/>
      <c r="DW25" s="26" t="s">
        <v>513</v>
      </c>
      <c r="DX25" s="30" t="s">
        <v>514</v>
      </c>
      <c r="DY25" s="283">
        <f>+insumos!$H$266</f>
        <v>1.1500000000000001</v>
      </c>
      <c r="DZ25" s="285"/>
      <c r="EA25" s="285"/>
      <c r="EB25" s="245"/>
      <c r="EC25" s="245"/>
      <c r="ED25" s="245"/>
      <c r="EE25" s="245"/>
      <c r="EF25" s="245"/>
      <c r="EG25" s="245"/>
      <c r="EH25" s="245"/>
      <c r="EI25" s="245"/>
      <c r="EJ25" s="245"/>
    </row>
    <row r="26" spans="1:140" x14ac:dyDescent="0.25">
      <c r="A26" s="245"/>
      <c r="B26" s="278"/>
      <c r="C26" s="279" t="s">
        <v>134</v>
      </c>
      <c r="D26" s="278"/>
      <c r="E26" s="269"/>
      <c r="F26" s="245"/>
      <c r="G26" s="281">
        <v>4542</v>
      </c>
      <c r="H26" s="282" t="s">
        <v>527</v>
      </c>
      <c r="I26" s="283">
        <f>insumos!$I$35</f>
        <v>0.022058823529411763</v>
      </c>
      <c r="J26" s="284"/>
      <c r="K26" s="285"/>
      <c r="L26" s="281">
        <v>4542</v>
      </c>
      <c r="M26" s="286" t="s">
        <v>527</v>
      </c>
      <c r="N26" s="283">
        <f>insumos!$I$35</f>
        <v>0.022058823529411763</v>
      </c>
      <c r="O26" s="285"/>
      <c r="P26" s="245"/>
      <c r="Q26" s="26">
        <v>3817</v>
      </c>
      <c r="R26" s="243" t="s">
        <v>524</v>
      </c>
      <c r="S26" s="289">
        <f>insumos!$I$103*1.8</f>
        <v>0.02088</v>
      </c>
      <c r="T26" s="285" t="s">
        <v>538</v>
      </c>
      <c r="U26" s="245"/>
      <c r="V26" s="26">
        <v>3817</v>
      </c>
      <c r="W26" s="243" t="s">
        <v>524</v>
      </c>
      <c r="X26" s="289">
        <f>insumos!I103*1.8</f>
        <v>0.02088</v>
      </c>
      <c r="Y26" s="285" t="s">
        <v>538</v>
      </c>
      <c r="Z26" s="245"/>
      <c r="AA26" s="281">
        <v>4542</v>
      </c>
      <c r="AB26" s="282" t="s">
        <v>527</v>
      </c>
      <c r="AC26" s="283">
        <f>insumos!$I$35</f>
        <v>0.022058823529411763</v>
      </c>
      <c r="AD26" s="245"/>
      <c r="AE26" s="245"/>
      <c r="AF26" s="275" t="s">
        <v>492</v>
      </c>
      <c r="AG26" s="276" t="s">
        <v>495</v>
      </c>
      <c r="AH26" s="275" t="s">
        <v>467</v>
      </c>
      <c r="AI26" s="269"/>
      <c r="AJ26" s="245"/>
      <c r="AK26" s="26">
        <v>3817</v>
      </c>
      <c r="AL26" s="243" t="s">
        <v>524</v>
      </c>
      <c r="AM26" s="289">
        <f>insumos!$I$103*1.8</f>
        <v>0.02088</v>
      </c>
      <c r="AN26" s="285" t="s">
        <v>538</v>
      </c>
      <c r="AO26" s="245"/>
      <c r="AP26" s="278"/>
      <c r="AQ26" s="279" t="s">
        <v>134</v>
      </c>
      <c r="AR26" s="278"/>
      <c r="AS26" s="269"/>
      <c r="AZ26" s="278"/>
      <c r="BA26" s="279" t="s">
        <v>134</v>
      </c>
      <c r="BB26" s="278"/>
      <c r="BC26" s="269"/>
      <c r="BD26" s="245"/>
      <c r="BE26" s="278"/>
      <c r="BF26" s="279" t="s">
        <v>134</v>
      </c>
      <c r="BG26" s="278"/>
      <c r="BH26" s="269"/>
      <c r="BI26" s="245"/>
      <c r="BJ26" s="245"/>
      <c r="BK26" s="245"/>
      <c r="BL26" s="245"/>
      <c r="BM26" s="245"/>
      <c r="BN26" s="245"/>
      <c r="BO26" s="278"/>
      <c r="BP26" s="279" t="s">
        <v>134</v>
      </c>
      <c r="BQ26" s="278"/>
      <c r="BR26" s="269"/>
      <c r="BS26" s="245"/>
      <c r="BT26" s="278"/>
      <c r="BU26" s="279" t="s">
        <v>134</v>
      </c>
      <c r="BV26" s="278"/>
      <c r="BW26" s="269"/>
      <c r="BX26" s="245"/>
      <c r="BY26" s="278"/>
      <c r="BZ26" s="279" t="s">
        <v>134</v>
      </c>
      <c r="CA26" s="278"/>
      <c r="CB26" s="269"/>
      <c r="CC26" s="245"/>
      <c r="CD26" s="281">
        <v>3741</v>
      </c>
      <c r="CE26" s="282" t="s">
        <v>500</v>
      </c>
      <c r="CF26" s="283">
        <f>insumos!$G$213</f>
        <v>0.8355871886120997</v>
      </c>
      <c r="CG26" s="284"/>
      <c r="CH26" s="285"/>
      <c r="CI26" s="278"/>
      <c r="CJ26" s="279" t="s">
        <v>134</v>
      </c>
      <c r="CK26" s="278"/>
      <c r="CL26" s="269"/>
      <c r="CM26" s="285"/>
      <c r="CN26" s="281">
        <v>3741</v>
      </c>
      <c r="CO26" s="282" t="s">
        <v>500</v>
      </c>
      <c r="CP26" s="31">
        <f>insumos!$G$213</f>
        <v>0.8355871886120997</v>
      </c>
      <c r="CQ26" s="245"/>
      <c r="CR26" s="285"/>
      <c r="CS26" s="281">
        <v>3741</v>
      </c>
      <c r="CT26" s="282" t="s">
        <v>500</v>
      </c>
      <c r="CU26" s="283">
        <f>insumos!$G$213</f>
        <v>0.8355871886120997</v>
      </c>
      <c r="CV26" s="245"/>
      <c r="CW26" s="285"/>
      <c r="CX26" s="281">
        <v>4541</v>
      </c>
      <c r="CY26" s="282" t="s">
        <v>529</v>
      </c>
      <c r="CZ26" s="283">
        <f>insumos!$H$43</f>
        <v>0.022058823529411766</v>
      </c>
      <c r="DA26" s="245"/>
      <c r="DB26" s="285"/>
      <c r="DC26" s="275" t="s">
        <v>492</v>
      </c>
      <c r="DD26" s="277" t="s">
        <v>495</v>
      </c>
      <c r="DE26" s="275" t="s">
        <v>467</v>
      </c>
      <c r="DF26" s="285"/>
      <c r="DG26" s="285"/>
      <c r="DH26" s="26" t="s">
        <v>521</v>
      </c>
      <c r="DI26" s="30" t="s">
        <v>522</v>
      </c>
      <c r="DJ26" s="31">
        <f>+insumos!$H$274</f>
        <v>1.6</v>
      </c>
      <c r="DK26" s="245"/>
      <c r="DL26" s="285"/>
      <c r="DM26" s="278"/>
      <c r="DN26" s="279" t="s">
        <v>134</v>
      </c>
      <c r="DO26" s="278"/>
      <c r="DP26" s="269"/>
      <c r="DQ26" s="245"/>
      <c r="DR26" s="281">
        <v>4542</v>
      </c>
      <c r="DS26" s="286" t="s">
        <v>527</v>
      </c>
      <c r="DT26" s="283">
        <f>insumos!$I$35</f>
        <v>0.022058823529411763</v>
      </c>
      <c r="DU26" s="285"/>
      <c r="DV26" s="285"/>
      <c r="DW26" s="281">
        <v>4542</v>
      </c>
      <c r="DX26" s="286" t="s">
        <v>527</v>
      </c>
      <c r="DY26" s="283">
        <f>insumos!$I$35</f>
        <v>0.022058823529411763</v>
      </c>
      <c r="DZ26" s="285"/>
      <c r="EA26" s="285"/>
      <c r="EB26" s="245"/>
      <c r="EC26" s="285"/>
      <c r="ED26" s="285"/>
      <c r="EE26" s="245"/>
      <c r="EF26" s="164" t="s">
        <v>641</v>
      </c>
      <c r="EG26" s="273" t="s">
        <v>642</v>
      </c>
      <c r="EH26" s="273" t="s">
        <v>347</v>
      </c>
      <c r="EI26" s="245"/>
      <c r="EJ26" s="245"/>
    </row>
    <row r="27" spans="1:140" x14ac:dyDescent="0.25">
      <c r="A27" s="245"/>
      <c r="B27" s="281">
        <v>3741</v>
      </c>
      <c r="C27" s="282" t="s">
        <v>500</v>
      </c>
      <c r="D27" s="283">
        <f>insumos!$G$213</f>
        <v>0.8355871886120997</v>
      </c>
      <c r="E27" s="284"/>
      <c r="F27" s="245"/>
      <c r="G27" s="26">
        <v>3817</v>
      </c>
      <c r="H27" s="243" t="s">
        <v>524</v>
      </c>
      <c r="I27" s="289">
        <f>insumos!$I$103*1.8</f>
        <v>0.02088</v>
      </c>
      <c r="J27" s="290" t="s">
        <v>537</v>
      </c>
      <c r="K27" s="290"/>
      <c r="L27" s="26">
        <v>3817</v>
      </c>
      <c r="M27" s="288" t="s">
        <v>524</v>
      </c>
      <c r="N27" s="289">
        <f>insumos!$I$103*1.8</f>
        <v>0.02088</v>
      </c>
      <c r="O27" s="290" t="s">
        <v>537</v>
      </c>
      <c r="P27" s="245"/>
      <c r="Q27" s="26">
        <v>2173</v>
      </c>
      <c r="R27" s="243" t="s">
        <v>536</v>
      </c>
      <c r="S27" s="289">
        <f>+insumos!$H$149*2</f>
        <v>0.0349502662966019</v>
      </c>
      <c r="T27" s="1" t="s">
        <v>547</v>
      </c>
      <c r="U27" s="245"/>
      <c r="V27" s="26">
        <v>2173</v>
      </c>
      <c r="W27" s="243" t="s">
        <v>536</v>
      </c>
      <c r="X27" s="289">
        <f>+insumos!H149*2</f>
        <v>0.0349502662966019</v>
      </c>
      <c r="Y27" s="1" t="s">
        <v>547</v>
      </c>
      <c r="Z27" s="245"/>
      <c r="AA27" s="26">
        <v>3817</v>
      </c>
      <c r="AB27" s="243" t="s">
        <v>524</v>
      </c>
      <c r="AC27" s="289">
        <f>insumos!$I$103*1.8</f>
        <v>0.02088</v>
      </c>
      <c r="AD27" s="285" t="s">
        <v>538</v>
      </c>
      <c r="AE27" s="245"/>
      <c r="AF27" s="278"/>
      <c r="AG27" s="279" t="s">
        <v>134</v>
      </c>
      <c r="AH27" s="278"/>
      <c r="AI27" s="269"/>
      <c r="AJ27" s="245"/>
      <c r="AK27" s="26">
        <v>2173</v>
      </c>
      <c r="AL27" s="243" t="s">
        <v>536</v>
      </c>
      <c r="AM27" s="289">
        <f>+insumos!$H$149*2</f>
        <v>0.0349502662966019</v>
      </c>
      <c r="AN27" s="1" t="s">
        <v>547</v>
      </c>
      <c r="AO27" s="245"/>
      <c r="AP27" s="281">
        <v>5524</v>
      </c>
      <c r="AQ27" s="1" t="s">
        <v>501</v>
      </c>
      <c r="AR27" s="283">
        <f>insumos!$H$217</f>
        <v>0.8950000000000001</v>
      </c>
      <c r="AS27" s="284"/>
      <c r="AZ27" s="281">
        <v>3741</v>
      </c>
      <c r="BA27" s="282" t="s">
        <v>500</v>
      </c>
      <c r="BB27" s="283">
        <f>insumos!$G$213</f>
        <v>0.8355871886120997</v>
      </c>
      <c r="BC27" s="284"/>
      <c r="BD27" s="285"/>
      <c r="BE27" s="281">
        <v>3741</v>
      </c>
      <c r="BF27" s="282" t="s">
        <v>500</v>
      </c>
      <c r="BG27" s="283">
        <f>insumos!$G$213</f>
        <v>0.8355871886120997</v>
      </c>
      <c r="BH27" s="284"/>
      <c r="BI27" s="245"/>
      <c r="BJ27" s="245"/>
      <c r="BK27" s="245"/>
      <c r="BL27" s="245"/>
      <c r="BM27" s="245"/>
      <c r="BN27" s="245"/>
      <c r="BO27" s="281">
        <v>3741</v>
      </c>
      <c r="BP27" s="282" t="s">
        <v>500</v>
      </c>
      <c r="BQ27" s="283">
        <f>insumos!$G$213</f>
        <v>0.8355871886120997</v>
      </c>
      <c r="BR27" s="284"/>
      <c r="BS27" s="285"/>
      <c r="BT27" s="281">
        <v>3741</v>
      </c>
      <c r="BU27" s="282" t="s">
        <v>500</v>
      </c>
      <c r="BV27" s="283">
        <f>insumos!$G$213</f>
        <v>0.8355871886120997</v>
      </c>
      <c r="BW27" s="284"/>
      <c r="BX27" s="285"/>
      <c r="BY27" s="281">
        <v>3741</v>
      </c>
      <c r="BZ27" s="282" t="s">
        <v>500</v>
      </c>
      <c r="CA27" s="31">
        <f>insumos!$G$213</f>
        <v>0.8355871886120997</v>
      </c>
      <c r="CB27" s="245"/>
      <c r="CC27" s="245"/>
      <c r="CD27" s="26" t="s">
        <v>515</v>
      </c>
      <c r="CE27" s="30" t="s">
        <v>516</v>
      </c>
      <c r="CF27" s="283">
        <f>+insumos!$G$283</f>
        <v>1.1</v>
      </c>
      <c r="CG27" s="284"/>
      <c r="CH27" s="285"/>
      <c r="CI27" s="281">
        <v>3741</v>
      </c>
      <c r="CJ27" s="282" t="s">
        <v>500</v>
      </c>
      <c r="CK27" s="31">
        <f>insumos!$G$213</f>
        <v>0.8355871886120997</v>
      </c>
      <c r="CL27" s="245"/>
      <c r="CM27" s="285"/>
      <c r="CN27" s="281">
        <v>3759</v>
      </c>
      <c r="CO27" s="1" t="s">
        <v>507</v>
      </c>
      <c r="CP27" s="31">
        <f>+insumos!$G$284</f>
        <v>1.1352416613292604</v>
      </c>
      <c r="CQ27" s="245"/>
      <c r="CR27" s="285"/>
      <c r="CS27" s="26" t="s">
        <v>515</v>
      </c>
      <c r="CT27" s="30" t="s">
        <v>516</v>
      </c>
      <c r="CU27" s="283">
        <f>+insumos!$G$283</f>
        <v>1.1</v>
      </c>
      <c r="CV27" s="245"/>
      <c r="CW27" s="285"/>
      <c r="CX27" s="26">
        <v>3817</v>
      </c>
      <c r="CY27" s="243" t="s">
        <v>524</v>
      </c>
      <c r="CZ27" s="289">
        <f>insumos!$I$103*1.8</f>
        <v>0.02088</v>
      </c>
      <c r="DA27" s="285" t="s">
        <v>538</v>
      </c>
      <c r="DB27" s="285"/>
      <c r="DC27" s="278"/>
      <c r="DD27" s="280" t="s">
        <v>134</v>
      </c>
      <c r="DE27" s="278"/>
      <c r="DF27" s="285"/>
      <c r="DG27" s="285"/>
      <c r="DH27" s="281">
        <v>4541</v>
      </c>
      <c r="DI27" s="282" t="s">
        <v>528</v>
      </c>
      <c r="DJ27" s="283">
        <f>insumos!$H$43</f>
        <v>0.022058823529411766</v>
      </c>
      <c r="DK27" s="1"/>
      <c r="DL27" s="285"/>
      <c r="DM27" s="281">
        <v>3741</v>
      </c>
      <c r="DN27" s="282" t="s">
        <v>500</v>
      </c>
      <c r="DO27" s="283">
        <f>insumos!$G$213</f>
        <v>0.8355871886120997</v>
      </c>
      <c r="DP27" s="284"/>
      <c r="DQ27" s="285"/>
      <c r="DR27" s="26">
        <v>3817</v>
      </c>
      <c r="DS27" s="288" t="s">
        <v>524</v>
      </c>
      <c r="DT27" s="289">
        <f>insumos!$I$103*1.8</f>
        <v>0.02088</v>
      </c>
      <c r="DU27" s="290" t="s">
        <v>537</v>
      </c>
      <c r="DV27" s="290"/>
      <c r="DW27" s="26">
        <v>3817</v>
      </c>
      <c r="DX27" s="288" t="s">
        <v>524</v>
      </c>
      <c r="DY27" s="289">
        <f>insumos!$I$103*1.8</f>
        <v>0.02088</v>
      </c>
      <c r="DZ27" s="290" t="s">
        <v>537</v>
      </c>
      <c r="EA27" s="290"/>
      <c r="EB27" s="285"/>
      <c r="EC27" s="285"/>
      <c r="ED27" s="285"/>
      <c r="EE27" s="2" t="s">
        <v>643</v>
      </c>
      <c r="EF27" s="2" t="s">
        <v>644</v>
      </c>
      <c r="EG27" s="195">
        <f>24750/0.4536</f>
        <v>54563.49206349206</v>
      </c>
      <c r="EH27" s="315">
        <f>2.39/0.4536</f>
        <v>5.268959435626103</v>
      </c>
      <c r="EI27" s="195">
        <f>+EG27*EH27</f>
        <v>287492.8263486465</v>
      </c>
      <c r="EJ27" s="245"/>
    </row>
    <row r="28" spans="1:140" x14ac:dyDescent="0.25">
      <c r="A28" s="245"/>
      <c r="B28" s="281">
        <v>3759</v>
      </c>
      <c r="C28" s="1" t="s">
        <v>507</v>
      </c>
      <c r="D28" s="283">
        <f>+insumos!$G$284</f>
        <v>1.1352416613292604</v>
      </c>
      <c r="E28" s="284"/>
      <c r="F28" s="245"/>
      <c r="G28" s="26">
        <v>2173</v>
      </c>
      <c r="H28" s="243" t="s">
        <v>536</v>
      </c>
      <c r="I28" s="289">
        <f>+insumos!$H$149*2</f>
        <v>0.0349502662966019</v>
      </c>
      <c r="J28" s="291" t="s">
        <v>547</v>
      </c>
      <c r="K28" s="291"/>
      <c r="L28" s="26">
        <v>2173</v>
      </c>
      <c r="M28" s="288" t="s">
        <v>536</v>
      </c>
      <c r="N28" s="289">
        <f>+insumos!$H$149*2</f>
        <v>0.0349502662966019</v>
      </c>
      <c r="O28" s="291" t="s">
        <v>547</v>
      </c>
      <c r="P28" s="245"/>
      <c r="Q28" s="281">
        <v>3636</v>
      </c>
      <c r="R28" s="282" t="s">
        <v>550</v>
      </c>
      <c r="S28" s="283">
        <f>+insumos!$H$121</f>
        <v>0.0445</v>
      </c>
      <c r="T28" s="245"/>
      <c r="U28" s="245"/>
      <c r="V28" s="281">
        <v>3636</v>
      </c>
      <c r="W28" s="282" t="s">
        <v>550</v>
      </c>
      <c r="X28" s="283">
        <f>+insumos!H121</f>
        <v>0.0445</v>
      </c>
      <c r="Y28" s="245"/>
      <c r="Z28" s="245"/>
      <c r="AA28" s="26">
        <v>2173</v>
      </c>
      <c r="AB28" s="243" t="s">
        <v>536</v>
      </c>
      <c r="AC28" s="289">
        <f>+insumos!$H$149*2</f>
        <v>0.0349502662966019</v>
      </c>
      <c r="AD28" s="1" t="s">
        <v>547</v>
      </c>
      <c r="AE28" s="245"/>
      <c r="AF28" s="316">
        <v>3741</v>
      </c>
      <c r="AG28" s="1" t="s">
        <v>504</v>
      </c>
      <c r="AH28" s="283">
        <f>insumos!$G$213</f>
        <v>0.8355871886120997</v>
      </c>
      <c r="AI28" s="284"/>
      <c r="AJ28" s="245"/>
      <c r="AK28" s="281">
        <v>3636</v>
      </c>
      <c r="AL28" s="282" t="s">
        <v>550</v>
      </c>
      <c r="AM28" s="283">
        <f>+insumos!$H$121</f>
        <v>0.0445</v>
      </c>
      <c r="AN28" s="245"/>
      <c r="AO28" s="245"/>
      <c r="AP28" s="281">
        <v>5523</v>
      </c>
      <c r="AQ28" s="282" t="s">
        <v>508</v>
      </c>
      <c r="AR28" s="283">
        <f>+insumos!$H$285</f>
        <v>1.1829611337771098</v>
      </c>
      <c r="AS28" s="284"/>
      <c r="AZ28" s="26" t="s">
        <v>515</v>
      </c>
      <c r="BA28" s="30" t="s">
        <v>516</v>
      </c>
      <c r="BB28" s="283">
        <f>+insumos!$G$283</f>
        <v>1.1</v>
      </c>
      <c r="BC28" s="284"/>
      <c r="BD28" s="285"/>
      <c r="BE28" s="26" t="s">
        <v>517</v>
      </c>
      <c r="BF28" s="30" t="s">
        <v>518</v>
      </c>
      <c r="BG28" s="283">
        <f>+insumos!$H$263</f>
        <v>1.6</v>
      </c>
      <c r="BH28" s="284"/>
      <c r="BI28" s="245"/>
      <c r="BJ28" s="245"/>
      <c r="BK28" s="245"/>
      <c r="BL28" s="245"/>
      <c r="BM28" s="245"/>
      <c r="BN28" s="245"/>
      <c r="BO28" s="26" t="s">
        <v>515</v>
      </c>
      <c r="BP28" s="30" t="s">
        <v>516</v>
      </c>
      <c r="BQ28" s="283">
        <f>+insumos!$G$283</f>
        <v>1.1</v>
      </c>
      <c r="BR28" s="284"/>
      <c r="BS28" s="285"/>
      <c r="BT28" s="26">
        <v>6265</v>
      </c>
      <c r="BU28" s="30" t="s">
        <v>520</v>
      </c>
      <c r="BV28" s="283">
        <f>+insumos!$H$279</f>
        <v>1.25</v>
      </c>
      <c r="BW28" s="284"/>
      <c r="BX28" s="285"/>
      <c r="BY28" s="281">
        <v>3759</v>
      </c>
      <c r="BZ28" s="1" t="s">
        <v>507</v>
      </c>
      <c r="CA28" s="31">
        <f>+insumos!$G$284</f>
        <v>1.1352416613292604</v>
      </c>
      <c r="CB28" s="245"/>
      <c r="CC28" s="245"/>
      <c r="CD28" s="281">
        <v>4653</v>
      </c>
      <c r="CE28" s="282" t="s">
        <v>525</v>
      </c>
      <c r="CF28" s="283">
        <f>insumos!$H$254*2</f>
        <v>0.37281192211465247</v>
      </c>
      <c r="CG28" s="284" t="s">
        <v>547</v>
      </c>
      <c r="CH28" s="285"/>
      <c r="CI28" s="26" t="s">
        <v>521</v>
      </c>
      <c r="CJ28" s="30" t="s">
        <v>522</v>
      </c>
      <c r="CK28" s="31">
        <f>+insumos!$H$274</f>
        <v>1.6</v>
      </c>
      <c r="CL28" s="245"/>
      <c r="CM28" s="285"/>
      <c r="CN28" s="281">
        <v>4653</v>
      </c>
      <c r="CO28" s="282" t="s">
        <v>525</v>
      </c>
      <c r="CP28" s="283">
        <f>insumos!$H$254*4</f>
        <v>0.7456238442293049</v>
      </c>
      <c r="CQ28" s="284" t="s">
        <v>531</v>
      </c>
      <c r="CR28" s="285"/>
      <c r="CS28" s="281">
        <v>4653</v>
      </c>
      <c r="CT28" s="282" t="s">
        <v>525</v>
      </c>
      <c r="CU28" s="283">
        <f>insumos!$H$254*2</f>
        <v>0.37281192211465247</v>
      </c>
      <c r="CV28" s="1" t="s">
        <v>547</v>
      </c>
      <c r="CW28" s="285"/>
      <c r="CX28" s="26">
        <v>2173</v>
      </c>
      <c r="CY28" s="243" t="s">
        <v>536</v>
      </c>
      <c r="CZ28" s="289">
        <f>+insumos!$H$149*2</f>
        <v>0.0349502662966019</v>
      </c>
      <c r="DA28" s="1" t="s">
        <v>547</v>
      </c>
      <c r="DB28" s="285"/>
      <c r="DC28" s="281">
        <v>3741</v>
      </c>
      <c r="DD28" s="282" t="s">
        <v>500</v>
      </c>
      <c r="DE28" s="283">
        <f>insumos!$G$213</f>
        <v>0.8355871886120997</v>
      </c>
      <c r="DF28" s="285"/>
      <c r="DG28" s="285"/>
      <c r="DH28" s="26">
        <v>3817</v>
      </c>
      <c r="DI28" s="243" t="s">
        <v>524</v>
      </c>
      <c r="DJ28" s="289">
        <f>insumos!$I$103*1.8</f>
        <v>0.02088</v>
      </c>
      <c r="DK28" s="285" t="s">
        <v>538</v>
      </c>
      <c r="DL28" s="285"/>
      <c r="DM28" s="26">
        <v>6265</v>
      </c>
      <c r="DN28" s="30" t="s">
        <v>520</v>
      </c>
      <c r="DO28" s="283">
        <f>+insumos!$H$279</f>
        <v>1.25</v>
      </c>
      <c r="DP28" s="284"/>
      <c r="DQ28" s="285"/>
      <c r="DR28" s="26">
        <v>2173</v>
      </c>
      <c r="DS28" s="288" t="s">
        <v>536</v>
      </c>
      <c r="DT28" s="289">
        <f>+insumos!$H$149*2</f>
        <v>0.0349502662966019</v>
      </c>
      <c r="DU28" s="291" t="s">
        <v>547</v>
      </c>
      <c r="DV28" s="291"/>
      <c r="DW28" s="26">
        <v>2173</v>
      </c>
      <c r="DX28" s="288" t="s">
        <v>536</v>
      </c>
      <c r="DY28" s="289">
        <f>+insumos!$H$149*2</f>
        <v>0.0349502662966019</v>
      </c>
      <c r="DZ28" s="291" t="s">
        <v>547</v>
      </c>
      <c r="EA28" s="291"/>
      <c r="EB28" s="285"/>
      <c r="EC28" s="285"/>
      <c r="ED28" s="285"/>
      <c r="EE28" s="2" t="s">
        <v>645</v>
      </c>
      <c r="EF28" s="2" t="s">
        <v>646</v>
      </c>
      <c r="EG28" s="195">
        <f>5500/0.4536</f>
        <v>12125.220458553791</v>
      </c>
      <c r="EH28" s="315">
        <f>3.8/0.4536</f>
        <v>8.37742504409171</v>
      </c>
      <c r="EI28" s="195">
        <f>+EG28*EH28</f>
        <v>101578.12553462171</v>
      </c>
      <c r="EJ28" s="245"/>
    </row>
    <row r="29" spans="1:140" x14ac:dyDescent="0.25">
      <c r="A29" s="245"/>
      <c r="B29" s="281">
        <v>4653</v>
      </c>
      <c r="C29" s="282" t="s">
        <v>525</v>
      </c>
      <c r="D29" s="283">
        <f>insumos!$H$254*2</f>
        <v>0.37281192211465247</v>
      </c>
      <c r="E29" s="284" t="s">
        <v>532</v>
      </c>
      <c r="F29" s="285"/>
      <c r="G29" s="281">
        <v>3636</v>
      </c>
      <c r="H29" s="282" t="s">
        <v>550</v>
      </c>
      <c r="I29" s="283">
        <f>+insumos!$H$121</f>
        <v>0.0445</v>
      </c>
      <c r="J29" s="284"/>
      <c r="K29" s="285"/>
      <c r="L29" s="281">
        <v>3636</v>
      </c>
      <c r="M29" s="286" t="s">
        <v>550</v>
      </c>
      <c r="N29" s="283">
        <f>+insumos!$H$121</f>
        <v>0.0445</v>
      </c>
      <c r="O29" s="285"/>
      <c r="P29" s="245"/>
      <c r="Q29" s="292"/>
      <c r="R29" s="279" t="s">
        <v>553</v>
      </c>
      <c r="S29" s="293"/>
      <c r="T29" s="245"/>
      <c r="U29" s="245"/>
      <c r="V29" s="292"/>
      <c r="W29" s="279" t="s">
        <v>553</v>
      </c>
      <c r="X29" s="293"/>
      <c r="Y29" s="245"/>
      <c r="Z29" s="245"/>
      <c r="AA29" s="281">
        <v>3636</v>
      </c>
      <c r="AB29" s="282" t="s">
        <v>550</v>
      </c>
      <c r="AC29" s="283">
        <f>+insumos!$H$121</f>
        <v>0.0445</v>
      </c>
      <c r="AD29" s="245"/>
      <c r="AE29" s="245"/>
      <c r="AF29" s="26" t="s">
        <v>647</v>
      </c>
      <c r="AG29" s="30" t="s">
        <v>648</v>
      </c>
      <c r="AH29" s="283">
        <f>insumos!$H$281</f>
        <v>1.6000017513134852</v>
      </c>
      <c r="AI29" s="284"/>
      <c r="AJ29" s="245"/>
      <c r="AK29" s="292"/>
      <c r="AL29" s="279" t="s">
        <v>553</v>
      </c>
      <c r="AM29" s="293"/>
      <c r="AN29" s="245"/>
      <c r="AO29" s="245"/>
      <c r="AP29" s="281">
        <v>4986</v>
      </c>
      <c r="AQ29" s="1" t="s">
        <v>530</v>
      </c>
      <c r="AR29" s="283">
        <f>insumos!$H$255*3</f>
        <v>0.5699996367390061</v>
      </c>
      <c r="AS29" s="284" t="s">
        <v>526</v>
      </c>
      <c r="AZ29" s="281">
        <v>4986</v>
      </c>
      <c r="BA29" s="30" t="s">
        <v>530</v>
      </c>
      <c r="BB29" s="283">
        <f>insumos!$H$255*2</f>
        <v>0.3799997578260041</v>
      </c>
      <c r="BC29" s="284" t="s">
        <v>532</v>
      </c>
      <c r="BD29" s="285"/>
      <c r="BE29" s="281">
        <v>4653</v>
      </c>
      <c r="BF29" s="282" t="s">
        <v>525</v>
      </c>
      <c r="BG29" s="283">
        <f>insumos!$H$254*2</f>
        <v>0.37281192211465247</v>
      </c>
      <c r="BH29" s="284" t="s">
        <v>532</v>
      </c>
      <c r="BI29" s="245"/>
      <c r="BJ29" s="245"/>
      <c r="BK29" s="245"/>
      <c r="BL29" s="245"/>
      <c r="BM29" s="245"/>
      <c r="BN29" s="245"/>
      <c r="BO29" s="281">
        <v>4653</v>
      </c>
      <c r="BP29" s="282" t="s">
        <v>525</v>
      </c>
      <c r="BQ29" s="283">
        <f>insumos!$H$254</f>
        <v>0.18640596105732624</v>
      </c>
      <c r="BR29" s="284"/>
      <c r="BS29" s="285"/>
      <c r="BT29" s="281">
        <v>4653</v>
      </c>
      <c r="BU29" s="282" t="s">
        <v>525</v>
      </c>
      <c r="BV29" s="283">
        <f>insumos!$H$254*2</f>
        <v>0.37281192211465247</v>
      </c>
      <c r="BW29" s="284"/>
      <c r="BX29" s="285"/>
      <c r="BY29" s="281">
        <v>4653</v>
      </c>
      <c r="BZ29" s="282" t="s">
        <v>525</v>
      </c>
      <c r="CA29" s="283">
        <f>insumos!$H$254*4</f>
        <v>0.7456238442293049</v>
      </c>
      <c r="CB29" s="284" t="s">
        <v>531</v>
      </c>
      <c r="CC29" s="245"/>
      <c r="CD29" s="26" t="s">
        <v>539</v>
      </c>
      <c r="CE29" s="30" t="s">
        <v>540</v>
      </c>
      <c r="CF29" s="283">
        <f>insumos!$H$45</f>
        <v>0.028</v>
      </c>
      <c r="CG29" s="284"/>
      <c r="CH29" s="285"/>
      <c r="CI29" s="281">
        <v>4653</v>
      </c>
      <c r="CJ29" s="282" t="s">
        <v>525</v>
      </c>
      <c r="CK29" s="283">
        <f>insumos!$H$254*3</f>
        <v>0.5592178831719787</v>
      </c>
      <c r="CL29" s="284" t="s">
        <v>526</v>
      </c>
      <c r="CM29" s="285"/>
      <c r="CN29" s="281">
        <v>4541</v>
      </c>
      <c r="CO29" s="282" t="s">
        <v>529</v>
      </c>
      <c r="CP29" s="283">
        <f>insumos!$H$43</f>
        <v>0.022058823529411766</v>
      </c>
      <c r="CQ29" s="245"/>
      <c r="CR29" s="285"/>
      <c r="CS29" s="26">
        <v>3817</v>
      </c>
      <c r="CT29" s="243" t="s">
        <v>524</v>
      </c>
      <c r="CU29" s="289">
        <f>insumos!$I$103*1.8</f>
        <v>0.02088</v>
      </c>
      <c r="CV29" s="285" t="s">
        <v>538</v>
      </c>
      <c r="CW29" s="285"/>
      <c r="CX29" s="281">
        <v>3636</v>
      </c>
      <c r="CY29" s="282" t="s">
        <v>550</v>
      </c>
      <c r="CZ29" s="283">
        <f>+insumos!$H$121</f>
        <v>0.0445</v>
      </c>
      <c r="DA29" s="245"/>
      <c r="DB29" s="285"/>
      <c r="DC29" s="26" t="s">
        <v>509</v>
      </c>
      <c r="DD29" s="30" t="s">
        <v>510</v>
      </c>
      <c r="DE29" s="283">
        <f>+insumos!$H$267</f>
        <v>1.2</v>
      </c>
      <c r="DF29" s="285"/>
      <c r="DG29" s="285"/>
      <c r="DH29" s="26">
        <v>2173</v>
      </c>
      <c r="DI29" s="243" t="s">
        <v>536</v>
      </c>
      <c r="DJ29" s="289">
        <f>+insumos!$H$149*2</f>
        <v>0.0349502662966019</v>
      </c>
      <c r="DK29" s="1" t="s">
        <v>547</v>
      </c>
      <c r="DL29" s="285"/>
      <c r="DM29" s="281">
        <v>4653</v>
      </c>
      <c r="DN29" s="282" t="s">
        <v>525</v>
      </c>
      <c r="DO29" s="283">
        <f>insumos!$H$254*3</f>
        <v>0.5592178831719787</v>
      </c>
      <c r="DP29" s="284" t="s">
        <v>526</v>
      </c>
      <c r="DQ29" s="285"/>
      <c r="DR29" s="281">
        <v>3636</v>
      </c>
      <c r="DS29" s="286" t="s">
        <v>550</v>
      </c>
      <c r="DT29" s="283">
        <f>+insumos!$H$121</f>
        <v>0.0445</v>
      </c>
      <c r="DU29" s="285"/>
      <c r="DV29" s="285"/>
      <c r="DW29" s="281">
        <v>3636</v>
      </c>
      <c r="DX29" s="286" t="s">
        <v>550</v>
      </c>
      <c r="DY29" s="283">
        <f>+insumos!$H$121</f>
        <v>0.0445</v>
      </c>
      <c r="DZ29" s="285"/>
      <c r="EA29" s="285"/>
      <c r="EB29" s="285"/>
      <c r="EC29" s="285"/>
      <c r="ED29" s="285"/>
      <c r="EE29" s="2"/>
      <c r="EF29" s="2" t="s">
        <v>649</v>
      </c>
      <c r="EG29" s="195">
        <v>1</v>
      </c>
      <c r="EH29" s="2">
        <v>3379.95</v>
      </c>
      <c r="EI29" s="195">
        <f>+EH29</f>
        <v>3379.95</v>
      </c>
      <c r="EJ29" s="245"/>
    </row>
    <row r="30" spans="1:140" x14ac:dyDescent="0.25">
      <c r="A30" s="245"/>
      <c r="B30" s="281">
        <v>4541</v>
      </c>
      <c r="C30" s="282" t="s">
        <v>528</v>
      </c>
      <c r="D30" s="283">
        <f>insumos!$H$43</f>
        <v>0.022058823529411766</v>
      </c>
      <c r="E30" s="284"/>
      <c r="F30" s="285"/>
      <c r="G30" s="292"/>
      <c r="H30" s="279" t="s">
        <v>553</v>
      </c>
      <c r="I30" s="293"/>
      <c r="J30" s="284"/>
      <c r="K30" s="285"/>
      <c r="L30" s="292"/>
      <c r="M30" s="280" t="s">
        <v>553</v>
      </c>
      <c r="N30" s="293"/>
      <c r="O30" s="285"/>
      <c r="P30" s="245"/>
      <c r="Q30" s="26" t="s">
        <v>650</v>
      </c>
      <c r="R30" s="1" t="s">
        <v>651</v>
      </c>
      <c r="S30" s="283">
        <f>insumos!$H$75*5</f>
        <v>0.9750000000000001</v>
      </c>
      <c r="T30" s="1" t="s">
        <v>652</v>
      </c>
      <c r="U30" s="245"/>
      <c r="V30" s="281">
        <v>4745</v>
      </c>
      <c r="W30" s="282" t="s">
        <v>560</v>
      </c>
      <c r="X30" s="283">
        <f>insumos!H93*7</f>
        <v>0.798</v>
      </c>
      <c r="Y30" s="245" t="s">
        <v>561</v>
      </c>
      <c r="Z30" s="245"/>
      <c r="AA30" s="292"/>
      <c r="AB30" s="279" t="s">
        <v>553</v>
      </c>
      <c r="AC30" s="293"/>
      <c r="AD30" s="245"/>
      <c r="AE30" s="245"/>
      <c r="AF30" s="281">
        <v>4541</v>
      </c>
      <c r="AG30" s="282" t="s">
        <v>529</v>
      </c>
      <c r="AH30" s="283">
        <f>insumos!$H$43</f>
        <v>0.022058823529411766</v>
      </c>
      <c r="AI30" s="284"/>
      <c r="AJ30" s="245"/>
      <c r="AK30" s="26" t="s">
        <v>653</v>
      </c>
      <c r="AL30" s="30" t="s">
        <v>654</v>
      </c>
      <c r="AM30" s="283">
        <f>insumos!$H$224</f>
        <v>0.1</v>
      </c>
      <c r="AN30" s="1"/>
      <c r="AO30" s="245"/>
      <c r="AP30" s="281">
        <v>4542</v>
      </c>
      <c r="AQ30" s="282" t="s">
        <v>527</v>
      </c>
      <c r="AR30" s="283">
        <f>insumos!$I$35</f>
        <v>0.022058823529411763</v>
      </c>
      <c r="AS30" s="284"/>
      <c r="AZ30" s="26" t="s">
        <v>539</v>
      </c>
      <c r="BA30" s="30" t="s">
        <v>540</v>
      </c>
      <c r="BB30" s="283">
        <f>insumos!$H$45</f>
        <v>0.028</v>
      </c>
      <c r="BC30" s="284"/>
      <c r="BD30" s="285"/>
      <c r="BE30" s="26" t="s">
        <v>541</v>
      </c>
      <c r="BF30" s="30" t="s">
        <v>542</v>
      </c>
      <c r="BG30" s="283">
        <f>insumos!$H$50</f>
        <v>0.027941176470588237</v>
      </c>
      <c r="BH30" s="284"/>
      <c r="BI30" s="245"/>
      <c r="BJ30" s="245"/>
      <c r="BK30" s="245"/>
      <c r="BL30" s="245"/>
      <c r="BM30" s="245"/>
      <c r="BN30" s="245"/>
      <c r="BO30" s="26" t="s">
        <v>539</v>
      </c>
      <c r="BP30" s="30" t="s">
        <v>540</v>
      </c>
      <c r="BQ30" s="283">
        <f>insumos!$H$45</f>
        <v>0.028</v>
      </c>
      <c r="BR30" s="284"/>
      <c r="BS30" s="285"/>
      <c r="BT30" s="26">
        <v>5353</v>
      </c>
      <c r="BU30" s="30" t="s">
        <v>544</v>
      </c>
      <c r="BV30" s="283">
        <f>insumos!$H$44</f>
        <v>0.028</v>
      </c>
      <c r="BW30" s="284"/>
      <c r="BX30" s="285"/>
      <c r="BY30" s="281">
        <v>4541</v>
      </c>
      <c r="BZ30" s="282" t="s">
        <v>529</v>
      </c>
      <c r="CA30" s="283">
        <f>insumos!$H$43</f>
        <v>0.022058823529411766</v>
      </c>
      <c r="CB30" s="245"/>
      <c r="CC30" s="245"/>
      <c r="CD30" s="26">
        <v>3817</v>
      </c>
      <c r="CE30" s="243" t="s">
        <v>524</v>
      </c>
      <c r="CF30" s="289">
        <f>insumos!$I$103*1.8</f>
        <v>0.02088</v>
      </c>
      <c r="CG30" s="290" t="s">
        <v>537</v>
      </c>
      <c r="CH30" s="290"/>
      <c r="CI30" s="281">
        <v>4541</v>
      </c>
      <c r="CJ30" s="282" t="s">
        <v>529</v>
      </c>
      <c r="CK30" s="283">
        <f>insumos!$H$43</f>
        <v>0.022058823529411766</v>
      </c>
      <c r="CL30" s="245"/>
      <c r="CM30" s="290"/>
      <c r="CN30" s="26">
        <v>3817</v>
      </c>
      <c r="CO30" s="243" t="s">
        <v>524</v>
      </c>
      <c r="CP30" s="289">
        <f>insumos!$I$103*1.8</f>
        <v>0.02088</v>
      </c>
      <c r="CQ30" s="1" t="s">
        <v>538</v>
      </c>
      <c r="CR30" s="290"/>
      <c r="CS30" s="26" t="s">
        <v>539</v>
      </c>
      <c r="CT30" s="30" t="s">
        <v>540</v>
      </c>
      <c r="CU30" s="283">
        <f>insumos!$H$45</f>
        <v>0.028</v>
      </c>
      <c r="CV30" s="285"/>
      <c r="CW30" s="290"/>
      <c r="CX30" s="292"/>
      <c r="CY30" s="279" t="s">
        <v>553</v>
      </c>
      <c r="CZ30" s="293"/>
      <c r="DA30" s="245"/>
      <c r="DB30" s="290"/>
      <c r="DC30" s="281">
        <v>4542</v>
      </c>
      <c r="DD30" s="286" t="s">
        <v>527</v>
      </c>
      <c r="DE30" s="283">
        <f>insumos!$I$35</f>
        <v>0.022058823529411763</v>
      </c>
      <c r="DF30" s="290"/>
      <c r="DG30" s="290"/>
      <c r="DH30" s="281">
        <v>3636</v>
      </c>
      <c r="DI30" s="282" t="s">
        <v>550</v>
      </c>
      <c r="DJ30" s="283">
        <f>+insumos!$H$121</f>
        <v>0.0445</v>
      </c>
      <c r="DK30" s="245"/>
      <c r="DL30" s="290"/>
      <c r="DM30" s="26">
        <v>5353</v>
      </c>
      <c r="DN30" s="30" t="s">
        <v>544</v>
      </c>
      <c r="DO30" s="283">
        <f>insumos!$H$44</f>
        <v>0.028</v>
      </c>
      <c r="DP30" s="284"/>
      <c r="DQ30" s="285"/>
      <c r="DR30" s="292"/>
      <c r="DS30" s="280" t="s">
        <v>553</v>
      </c>
      <c r="DT30" s="293"/>
      <c r="DU30" s="285"/>
      <c r="DV30" s="285"/>
      <c r="DW30" s="292"/>
      <c r="DX30" s="280" t="s">
        <v>553</v>
      </c>
      <c r="DY30" s="293"/>
      <c r="DZ30" s="285"/>
      <c r="EA30" s="285"/>
      <c r="EB30" s="285"/>
      <c r="EC30" s="290"/>
      <c r="ED30" s="290"/>
      <c r="EE30" s="245"/>
      <c r="EF30" s="245"/>
      <c r="EG30" s="195">
        <f>SUM(EG27:EG29)</f>
        <v>66689.71252204585</v>
      </c>
      <c r="EH30" s="245"/>
      <c r="EI30" s="195">
        <f>SUM(EI27:EI29)</f>
        <v>392450.9018832682</v>
      </c>
      <c r="EJ30" s="317">
        <f>+EI30/EG30</f>
        <v>5.884729248960765</v>
      </c>
    </row>
    <row r="31" spans="1:140" x14ac:dyDescent="0.25">
      <c r="A31" s="245"/>
      <c r="B31" s="26">
        <v>3817</v>
      </c>
      <c r="C31" s="243" t="s">
        <v>524</v>
      </c>
      <c r="D31" s="289">
        <f>insumos!$I$103*1.8</f>
        <v>0.02088</v>
      </c>
      <c r="E31" s="290" t="s">
        <v>537</v>
      </c>
      <c r="F31" s="285"/>
      <c r="G31" s="26" t="s">
        <v>655</v>
      </c>
      <c r="H31" s="30" t="s">
        <v>656</v>
      </c>
      <c r="I31" s="283">
        <f>insumos!$H$56*14</f>
        <v>2.6879999999999997</v>
      </c>
      <c r="J31" s="300" t="s">
        <v>657</v>
      </c>
      <c r="K31" s="291"/>
      <c r="L31" s="26"/>
      <c r="M31" s="30"/>
      <c r="N31" s="283"/>
      <c r="O31" s="291"/>
      <c r="P31" s="245"/>
      <c r="Q31" s="26" t="s">
        <v>658</v>
      </c>
      <c r="R31" s="30" t="s">
        <v>659</v>
      </c>
      <c r="S31" s="283">
        <f>insumos!$H$135*5</f>
        <v>0.10250000000000001</v>
      </c>
      <c r="T31" s="1" t="s">
        <v>652</v>
      </c>
      <c r="U31" s="245"/>
      <c r="V31" s="297"/>
      <c r="W31" s="298" t="s">
        <v>5</v>
      </c>
      <c r="X31" s="299">
        <f>SUM(X23:X30)</f>
        <v>2.1703890898260134</v>
      </c>
      <c r="Y31" s="245"/>
      <c r="Z31" s="245"/>
      <c r="AA31" s="26" t="s">
        <v>653</v>
      </c>
      <c r="AB31" s="30" t="s">
        <v>654</v>
      </c>
      <c r="AC31" s="283">
        <f>insumos!$H$224*10</f>
        <v>1</v>
      </c>
      <c r="AD31" s="1" t="s">
        <v>563</v>
      </c>
      <c r="AE31" s="245"/>
      <c r="AF31" s="26">
        <v>3817</v>
      </c>
      <c r="AG31" s="243" t="s">
        <v>524</v>
      </c>
      <c r="AH31" s="289">
        <f>insumos!I124*1.8</f>
        <v>0</v>
      </c>
      <c r="AI31" s="284" t="s">
        <v>537</v>
      </c>
      <c r="AJ31" s="245"/>
      <c r="AK31" s="26"/>
      <c r="AL31" s="1"/>
      <c r="AM31" s="283"/>
      <c r="AN31" s="1"/>
      <c r="AO31" s="245"/>
      <c r="AP31" s="26">
        <v>3817</v>
      </c>
      <c r="AQ31" s="243" t="s">
        <v>524</v>
      </c>
      <c r="AR31" s="289">
        <f>insumos!$I$103*1.8</f>
        <v>0.02088</v>
      </c>
      <c r="AS31" s="290" t="s">
        <v>537</v>
      </c>
      <c r="AZ31" s="26">
        <v>3817</v>
      </c>
      <c r="BA31" s="243" t="s">
        <v>524</v>
      </c>
      <c r="BB31" s="289">
        <f>insumos!$I$103*1.8</f>
        <v>0.02088</v>
      </c>
      <c r="BC31" s="290" t="s">
        <v>537</v>
      </c>
      <c r="BD31" s="290"/>
      <c r="BE31" s="26">
        <v>3817</v>
      </c>
      <c r="BF31" s="243" t="s">
        <v>524</v>
      </c>
      <c r="BG31" s="289">
        <f>insumos!$I$103*1.8</f>
        <v>0.02088</v>
      </c>
      <c r="BH31" s="290" t="s">
        <v>537</v>
      </c>
      <c r="BI31" s="245"/>
      <c r="BJ31" s="245"/>
      <c r="BK31" s="245"/>
      <c r="BL31" s="245"/>
      <c r="BM31" s="245"/>
      <c r="BN31" s="245"/>
      <c r="BO31" s="26">
        <v>3817</v>
      </c>
      <c r="BP31" s="243" t="s">
        <v>524</v>
      </c>
      <c r="BQ31" s="289">
        <f>insumos!$I$103*1.8</f>
        <v>0.02088</v>
      </c>
      <c r="BR31" s="290" t="s">
        <v>537</v>
      </c>
      <c r="BS31" s="290"/>
      <c r="BT31" s="26">
        <v>3817</v>
      </c>
      <c r="BU31" s="243" t="s">
        <v>524</v>
      </c>
      <c r="BV31" s="289">
        <f>insumos!$I$103*1.8</f>
        <v>0.02088</v>
      </c>
      <c r="BW31" s="290" t="s">
        <v>537</v>
      </c>
      <c r="BX31" s="290"/>
      <c r="BY31" s="26">
        <v>3817</v>
      </c>
      <c r="BZ31" s="243" t="s">
        <v>524</v>
      </c>
      <c r="CA31" s="289">
        <f>insumos!$I$103*1.8</f>
        <v>0.02088</v>
      </c>
      <c r="CB31" s="1" t="s">
        <v>538</v>
      </c>
      <c r="CC31" s="245"/>
      <c r="CD31" s="26">
        <v>2173</v>
      </c>
      <c r="CE31" s="243" t="s">
        <v>536</v>
      </c>
      <c r="CF31" s="289">
        <f>+insumos!$H$149*2</f>
        <v>0.0349502662966019</v>
      </c>
      <c r="CG31" s="291" t="s">
        <v>547</v>
      </c>
      <c r="CH31" s="291"/>
      <c r="CI31" s="26">
        <v>3817</v>
      </c>
      <c r="CJ31" s="243" t="s">
        <v>524</v>
      </c>
      <c r="CK31" s="289">
        <f>insumos!$I$103*1.8</f>
        <v>0.02088</v>
      </c>
      <c r="CL31" s="1" t="s">
        <v>538</v>
      </c>
      <c r="CM31" s="291"/>
      <c r="CN31" s="26">
        <v>2173</v>
      </c>
      <c r="CO31" s="243" t="s">
        <v>536</v>
      </c>
      <c r="CP31" s="289">
        <f>+insumos!$H$149*2</f>
        <v>0.0349502662966019</v>
      </c>
      <c r="CQ31" s="1" t="s">
        <v>547</v>
      </c>
      <c r="CR31" s="291"/>
      <c r="CS31" s="26">
        <v>2173</v>
      </c>
      <c r="CT31" s="243" t="s">
        <v>536</v>
      </c>
      <c r="CU31" s="289">
        <f>+insumos!$H$149*2</f>
        <v>0.0349502662966019</v>
      </c>
      <c r="CV31" s="1" t="s">
        <v>547</v>
      </c>
      <c r="CW31" s="291"/>
      <c r="CX31" s="281">
        <v>6293</v>
      </c>
      <c r="CY31" s="282" t="s">
        <v>565</v>
      </c>
      <c r="CZ31" s="283">
        <f>insumos!$H$55*10</f>
        <v>1.61</v>
      </c>
      <c r="DA31" s="1" t="s">
        <v>563</v>
      </c>
      <c r="DB31" s="291"/>
      <c r="DC31" s="26">
        <v>3817</v>
      </c>
      <c r="DD31" s="288" t="s">
        <v>524</v>
      </c>
      <c r="DE31" s="289">
        <f>insumos!$I$103*1.8</f>
        <v>0.02088</v>
      </c>
      <c r="DF31" s="291"/>
      <c r="DG31" s="291"/>
      <c r="DH31" s="292"/>
      <c r="DI31" s="279" t="s">
        <v>553</v>
      </c>
      <c r="DJ31" s="293"/>
      <c r="DK31" s="245"/>
      <c r="DL31" s="291"/>
      <c r="DM31" s="26">
        <v>3817</v>
      </c>
      <c r="DN31" s="243" t="s">
        <v>524</v>
      </c>
      <c r="DO31" s="289">
        <f>insumos!$I$103*1.8</f>
        <v>0.02088</v>
      </c>
      <c r="DP31" s="290" t="s">
        <v>537</v>
      </c>
      <c r="DQ31" s="290"/>
      <c r="DR31" s="26" t="s">
        <v>558</v>
      </c>
      <c r="DS31" s="30" t="s">
        <v>559</v>
      </c>
      <c r="DT31" s="283">
        <f>insumos!$H$65*4</f>
        <v>0.5519991884410822</v>
      </c>
      <c r="DU31" s="291" t="s">
        <v>531</v>
      </c>
      <c r="DV31" s="291"/>
      <c r="DW31" s="26" t="s">
        <v>566</v>
      </c>
      <c r="DX31" s="30" t="s">
        <v>567</v>
      </c>
      <c r="DY31" s="283">
        <f>insumos!$H$113*21</f>
        <v>0.5671985311056005</v>
      </c>
      <c r="DZ31" s="300" t="s">
        <v>660</v>
      </c>
      <c r="EA31" s="291"/>
      <c r="EB31" s="290"/>
      <c r="EC31" s="291"/>
      <c r="ED31" s="291"/>
      <c r="EE31" s="245"/>
      <c r="EF31" s="245"/>
      <c r="EG31" s="245"/>
      <c r="EH31" s="245"/>
      <c r="EI31" s="245"/>
      <c r="EJ31" s="245"/>
    </row>
    <row r="32" spans="1:140" x14ac:dyDescent="0.25">
      <c r="A32" s="245"/>
      <c r="B32" s="26">
        <v>2173</v>
      </c>
      <c r="C32" s="243" t="s">
        <v>536</v>
      </c>
      <c r="D32" s="289">
        <f>+insumos!$H$149*2</f>
        <v>0.0349502662966019</v>
      </c>
      <c r="E32" s="291" t="s">
        <v>547</v>
      </c>
      <c r="F32" s="285"/>
      <c r="G32" s="26" t="s">
        <v>566</v>
      </c>
      <c r="H32" s="30" t="s">
        <v>567</v>
      </c>
      <c r="I32" s="283">
        <f>insumos!$H$113*14</f>
        <v>0.3781323540704003</v>
      </c>
      <c r="J32" s="300" t="s">
        <v>657</v>
      </c>
      <c r="K32" s="291"/>
      <c r="L32" s="26" t="s">
        <v>566</v>
      </c>
      <c r="M32" s="30" t="s">
        <v>567</v>
      </c>
      <c r="N32" s="283">
        <f>insumos!$H$113*7</f>
        <v>0.18906617703520015</v>
      </c>
      <c r="O32" s="291" t="s">
        <v>661</v>
      </c>
      <c r="P32" s="245"/>
      <c r="Q32" s="297"/>
      <c r="R32" s="298" t="s">
        <v>5</v>
      </c>
      <c r="S32" s="299">
        <f>SUM(S23:S31)</f>
        <v>2.449889089826014</v>
      </c>
      <c r="T32" s="245"/>
      <c r="U32" s="245"/>
      <c r="V32" s="281"/>
      <c r="W32" s="282" t="s">
        <v>587</v>
      </c>
      <c r="X32" s="281">
        <v>22</v>
      </c>
      <c r="Y32" s="245"/>
      <c r="Z32" s="245"/>
      <c r="AA32" s="26" t="s">
        <v>574</v>
      </c>
      <c r="AB32" s="1" t="s">
        <v>575</v>
      </c>
      <c r="AC32" s="283">
        <f>insumos!$H$120*10</f>
        <v>0.199</v>
      </c>
      <c r="AD32" s="1" t="s">
        <v>563</v>
      </c>
      <c r="AE32" s="245"/>
      <c r="AF32" s="26">
        <v>2173</v>
      </c>
      <c r="AG32" s="243" t="s">
        <v>536</v>
      </c>
      <c r="AH32" s="289">
        <f>+insumos!H170*2</f>
        <v>0</v>
      </c>
      <c r="AI32" s="290" t="s">
        <v>547</v>
      </c>
      <c r="AJ32" s="245"/>
      <c r="AK32" s="297"/>
      <c r="AL32" s="298" t="s">
        <v>5</v>
      </c>
      <c r="AM32" s="299">
        <f>SUM(AM23:AM31)</f>
        <v>2.005350223603123</v>
      </c>
      <c r="AN32" s="245"/>
      <c r="AO32" s="245"/>
      <c r="AP32" s="26">
        <v>2173</v>
      </c>
      <c r="AQ32" s="243" t="s">
        <v>536</v>
      </c>
      <c r="AR32" s="289">
        <f>+insumos!$H$149*2</f>
        <v>0.0349502662966019</v>
      </c>
      <c r="AS32" s="291" t="s">
        <v>547</v>
      </c>
      <c r="AZ32" s="26">
        <v>2173</v>
      </c>
      <c r="BA32" s="243" t="s">
        <v>536</v>
      </c>
      <c r="BB32" s="289">
        <f>+insumos!$H$149*2</f>
        <v>0.0349502662966019</v>
      </c>
      <c r="BC32" s="291" t="s">
        <v>547</v>
      </c>
      <c r="BD32" s="291"/>
      <c r="BE32" s="26">
        <v>2173</v>
      </c>
      <c r="BF32" s="243" t="s">
        <v>536</v>
      </c>
      <c r="BG32" s="289">
        <f>+insumos!$H$149*2</f>
        <v>0.0349502662966019</v>
      </c>
      <c r="BH32" s="291" t="s">
        <v>547</v>
      </c>
      <c r="BI32" s="245"/>
      <c r="BJ32" s="245"/>
      <c r="BK32" s="245"/>
      <c r="BL32" s="245"/>
      <c r="BM32" s="245"/>
      <c r="BN32" s="245"/>
      <c r="BO32" s="26">
        <v>2173</v>
      </c>
      <c r="BP32" s="243" t="s">
        <v>536</v>
      </c>
      <c r="BQ32" s="289">
        <f>+insumos!$H$149*2</f>
        <v>0.0349502662966019</v>
      </c>
      <c r="BR32" s="291" t="s">
        <v>547</v>
      </c>
      <c r="BS32" s="291"/>
      <c r="BT32" s="26">
        <v>2173</v>
      </c>
      <c r="BU32" s="243" t="s">
        <v>536</v>
      </c>
      <c r="BV32" s="289">
        <f>+insumos!$H$149*2</f>
        <v>0.0349502662966019</v>
      </c>
      <c r="BW32" s="291" t="s">
        <v>547</v>
      </c>
      <c r="BX32" s="291"/>
      <c r="BY32" s="26">
        <v>2173</v>
      </c>
      <c r="BZ32" s="243" t="s">
        <v>536</v>
      </c>
      <c r="CA32" s="289">
        <f>+insumos!$H$149*2</f>
        <v>0.0349502662966019</v>
      </c>
      <c r="CB32" s="1" t="s">
        <v>547</v>
      </c>
      <c r="CC32" s="245"/>
      <c r="CD32" s="281">
        <v>3636</v>
      </c>
      <c r="CE32" s="282" t="s">
        <v>550</v>
      </c>
      <c r="CF32" s="283">
        <f>+insumos!$H$121</f>
        <v>0.0445</v>
      </c>
      <c r="CG32" s="284"/>
      <c r="CH32" s="285"/>
      <c r="CI32" s="26">
        <v>2173</v>
      </c>
      <c r="CJ32" s="243" t="s">
        <v>536</v>
      </c>
      <c r="CK32" s="289">
        <f>+insumos!$H$149*2</f>
        <v>0.0349502662966019</v>
      </c>
      <c r="CL32" s="1" t="s">
        <v>547</v>
      </c>
      <c r="CM32" s="285"/>
      <c r="CN32" s="281">
        <v>3636</v>
      </c>
      <c r="CO32" s="282" t="s">
        <v>550</v>
      </c>
      <c r="CP32" s="283">
        <f>+insumos!$H$121</f>
        <v>0.0445</v>
      </c>
      <c r="CR32" s="285"/>
      <c r="CS32" s="281">
        <v>3636</v>
      </c>
      <c r="CT32" s="282" t="s">
        <v>550</v>
      </c>
      <c r="CU32" s="283">
        <f>+insumos!$H$121</f>
        <v>0.0445</v>
      </c>
      <c r="CV32" s="245"/>
      <c r="CW32" s="285"/>
      <c r="CX32" s="297"/>
      <c r="CY32" s="298" t="s">
        <v>5</v>
      </c>
      <c r="CZ32" s="299">
        <f>SUM(CZ24:CZ31)</f>
        <v>3.7032179397673737</v>
      </c>
      <c r="DA32" s="245"/>
      <c r="DB32" s="285"/>
      <c r="DC32" s="26">
        <v>2173</v>
      </c>
      <c r="DD32" s="288" t="s">
        <v>536</v>
      </c>
      <c r="DE32" s="289">
        <f>+insumos!$H$149*2</f>
        <v>0.0349502662966019</v>
      </c>
      <c r="DF32" s="285"/>
      <c r="DG32" s="285"/>
      <c r="DH32" s="26" t="s">
        <v>566</v>
      </c>
      <c r="DI32" s="30" t="s">
        <v>567</v>
      </c>
      <c r="DJ32" s="283">
        <f>insumos!$H$113*8</f>
        <v>0.2160756308973716</v>
      </c>
      <c r="DK32" s="1" t="s">
        <v>561</v>
      </c>
      <c r="DL32" s="285"/>
      <c r="DM32" s="26">
        <v>2173</v>
      </c>
      <c r="DN32" s="243" t="s">
        <v>536</v>
      </c>
      <c r="DO32" s="289">
        <f>+insumos!$H$149*2</f>
        <v>0.0349502662966019</v>
      </c>
      <c r="DP32" s="291" t="s">
        <v>547</v>
      </c>
      <c r="DQ32" s="291"/>
      <c r="DR32" s="26"/>
      <c r="DS32" s="30"/>
      <c r="DT32" s="283"/>
      <c r="DU32" s="291"/>
      <c r="DV32" s="291"/>
      <c r="DW32" s="281">
        <v>6229</v>
      </c>
      <c r="DX32" s="30" t="s">
        <v>588</v>
      </c>
      <c r="DY32" s="283">
        <f>insumos!$I$265*21</f>
        <v>0.4519465996925162</v>
      </c>
      <c r="DZ32" s="300" t="s">
        <v>660</v>
      </c>
      <c r="EA32" s="291"/>
      <c r="EB32" s="291"/>
      <c r="EC32" s="285"/>
      <c r="ED32" s="285"/>
      <c r="EE32" s="245"/>
      <c r="EF32" s="245"/>
      <c r="EG32" s="245"/>
      <c r="EH32" s="245"/>
      <c r="EI32" s="245"/>
      <c r="EJ32" s="245"/>
    </row>
    <row r="33" spans="1:140" x14ac:dyDescent="0.25">
      <c r="A33" s="245"/>
      <c r="B33" s="281">
        <v>3636</v>
      </c>
      <c r="C33" s="282" t="s">
        <v>550</v>
      </c>
      <c r="D33" s="283">
        <f>+insumos!$H$121</f>
        <v>0.0445</v>
      </c>
      <c r="E33" s="284"/>
      <c r="F33" s="290"/>
      <c r="G33" s="297"/>
      <c r="H33" s="298" t="s">
        <v>5</v>
      </c>
      <c r="I33" s="299">
        <f>SUM(I24:I32)</f>
        <v>5.266482577673524</v>
      </c>
      <c r="J33" s="269"/>
      <c r="K33" s="245"/>
      <c r="L33" s="297"/>
      <c r="M33" s="303" t="s">
        <v>5</v>
      </c>
      <c r="N33" s="299">
        <f>SUM(N24:N32)</f>
        <v>2.3564552668612144</v>
      </c>
      <c r="O33" s="245"/>
      <c r="P33" s="245"/>
      <c r="Q33" s="281"/>
      <c r="R33" s="282" t="s">
        <v>587</v>
      </c>
      <c r="S33" s="304">
        <f>11124.76/613</f>
        <v>18.14805872756933</v>
      </c>
      <c r="T33" s="245"/>
      <c r="U33" s="245"/>
      <c r="V33" s="281"/>
      <c r="W33" s="307" t="s">
        <v>599</v>
      </c>
      <c r="X33" s="308">
        <f>+X31/X32</f>
        <v>0.09865404953754607</v>
      </c>
      <c r="Y33" s="245"/>
      <c r="Z33" s="245"/>
      <c r="AA33" s="297"/>
      <c r="AB33" s="298" t="s">
        <v>5</v>
      </c>
      <c r="AC33" s="299">
        <f>SUM(AC24:AC32)</f>
        <v>2.571389089826013</v>
      </c>
      <c r="AD33" s="245"/>
      <c r="AE33" s="245"/>
      <c r="AF33" s="281">
        <v>3636</v>
      </c>
      <c r="AG33" s="282" t="s">
        <v>550</v>
      </c>
      <c r="AH33" s="283">
        <f>+insumos!H142</f>
        <v>0.05227272727272727</v>
      </c>
      <c r="AI33" s="291"/>
      <c r="AJ33" s="245"/>
      <c r="AK33" s="281"/>
      <c r="AL33" s="282" t="s">
        <v>587</v>
      </c>
      <c r="AM33" s="304">
        <f>55840.63/2899</f>
        <v>19.262031735081063</v>
      </c>
      <c r="AN33" s="245"/>
      <c r="AO33" s="245"/>
      <c r="AP33" s="281">
        <v>3636</v>
      </c>
      <c r="AQ33" s="282" t="s">
        <v>550</v>
      </c>
      <c r="AR33" s="283">
        <f>+insumos!$H$121</f>
        <v>0.0445</v>
      </c>
      <c r="AS33" s="284"/>
      <c r="AZ33" s="281">
        <v>3636</v>
      </c>
      <c r="BA33" s="282" t="s">
        <v>550</v>
      </c>
      <c r="BB33" s="283">
        <f>+insumos!$H$121</f>
        <v>0.0445</v>
      </c>
      <c r="BC33" s="284"/>
      <c r="BD33" s="285"/>
      <c r="BE33" s="281">
        <v>3636</v>
      </c>
      <c r="BF33" s="282" t="s">
        <v>550</v>
      </c>
      <c r="BG33" s="283">
        <f>+insumos!$H$121</f>
        <v>0.0445</v>
      </c>
      <c r="BH33" s="284"/>
      <c r="BI33" s="245"/>
      <c r="BJ33" s="245"/>
      <c r="BK33" s="245"/>
      <c r="BL33" s="245"/>
      <c r="BM33" s="245"/>
      <c r="BN33" s="245"/>
      <c r="BO33" s="281">
        <v>3636</v>
      </c>
      <c r="BP33" s="282" t="s">
        <v>550</v>
      </c>
      <c r="BQ33" s="283">
        <f>+insumos!$H$121</f>
        <v>0.0445</v>
      </c>
      <c r="BR33" s="284"/>
      <c r="BS33" s="285"/>
      <c r="BT33" s="281">
        <v>3636</v>
      </c>
      <c r="BU33" s="282" t="s">
        <v>550</v>
      </c>
      <c r="BV33" s="283">
        <f>+insumos!$H$121</f>
        <v>0.0445</v>
      </c>
      <c r="BW33" s="284"/>
      <c r="BX33" s="285"/>
      <c r="BY33" s="281">
        <v>3636</v>
      </c>
      <c r="BZ33" s="282" t="s">
        <v>550</v>
      </c>
      <c r="CA33" s="283">
        <f>+insumos!$H$121</f>
        <v>0.0445</v>
      </c>
      <c r="CC33" s="245"/>
      <c r="CD33" s="292"/>
      <c r="CE33" s="279" t="s">
        <v>553</v>
      </c>
      <c r="CF33" s="293"/>
      <c r="CG33" s="284"/>
      <c r="CH33" s="285"/>
      <c r="CI33" s="281">
        <v>3636</v>
      </c>
      <c r="CJ33" s="282" t="s">
        <v>550</v>
      </c>
      <c r="CK33" s="283">
        <f>+insumos!$H$121</f>
        <v>0.0445</v>
      </c>
      <c r="CM33" s="285"/>
      <c r="CN33" s="294"/>
      <c r="CO33" s="279" t="s">
        <v>553</v>
      </c>
      <c r="CP33" s="295"/>
      <c r="CR33" s="285"/>
      <c r="CS33" s="292"/>
      <c r="CT33" s="279" t="s">
        <v>553</v>
      </c>
      <c r="CU33" s="293"/>
      <c r="CV33" s="245"/>
      <c r="CW33" s="285"/>
      <c r="CX33" s="281"/>
      <c r="CY33" s="282" t="s">
        <v>587</v>
      </c>
      <c r="CZ33" s="281">
        <v>12.83</v>
      </c>
      <c r="DA33" s="245"/>
      <c r="DB33" s="285"/>
      <c r="DC33" s="281">
        <v>3636</v>
      </c>
      <c r="DD33" s="286" t="s">
        <v>550</v>
      </c>
      <c r="DE33" s="283">
        <f>+insumos!$H$121</f>
        <v>0.0445</v>
      </c>
      <c r="DF33" s="285"/>
      <c r="DG33" s="285"/>
      <c r="DH33" s="26" t="s">
        <v>583</v>
      </c>
      <c r="DI33" s="30" t="s">
        <v>584</v>
      </c>
      <c r="DJ33" s="283">
        <f>insumos!H149*8</f>
        <v>0.1398010651864076</v>
      </c>
      <c r="DK33" s="1" t="s">
        <v>561</v>
      </c>
      <c r="DL33" s="285"/>
      <c r="DM33" s="281">
        <v>3636</v>
      </c>
      <c r="DN33" s="282" t="s">
        <v>550</v>
      </c>
      <c r="DO33" s="283">
        <f>+insumos!$H$121</f>
        <v>0.0445</v>
      </c>
      <c r="DP33" s="284"/>
      <c r="DQ33" s="285"/>
      <c r="DR33" s="297"/>
      <c r="DS33" s="303" t="s">
        <v>5</v>
      </c>
      <c r="DT33" s="299">
        <f>SUM(DT24:DT32)</f>
        <v>2.7193882782670964</v>
      </c>
      <c r="DU33" s="245"/>
      <c r="DV33" s="245"/>
      <c r="DW33" s="281">
        <v>6254</v>
      </c>
      <c r="DX33" s="30" t="s">
        <v>600</v>
      </c>
      <c r="DY33" s="283">
        <f>+insumos!$I$208*21</f>
        <v>0.9336064471477443</v>
      </c>
      <c r="DZ33" s="300" t="s">
        <v>660</v>
      </c>
      <c r="EA33" s="245"/>
      <c r="EB33" s="285"/>
      <c r="EC33" s="285"/>
      <c r="ED33" s="285"/>
      <c r="EE33" s="245"/>
      <c r="EF33" s="245"/>
      <c r="EG33" s="245"/>
      <c r="EH33" s="245"/>
      <c r="EI33" s="245"/>
      <c r="EJ33" s="245"/>
    </row>
    <row r="34" spans="1:135" x14ac:dyDescent="0.25">
      <c r="A34" s="245"/>
      <c r="B34" s="292"/>
      <c r="C34" s="279" t="s">
        <v>553</v>
      </c>
      <c r="D34" s="293"/>
      <c r="E34" s="284"/>
      <c r="F34" s="291"/>
      <c r="G34" s="281"/>
      <c r="H34" s="282" t="s">
        <v>587</v>
      </c>
      <c r="I34" s="281">
        <v>16.6</v>
      </c>
      <c r="J34" s="269"/>
      <c r="K34" s="245"/>
      <c r="L34" s="281"/>
      <c r="M34" s="286" t="s">
        <v>587</v>
      </c>
      <c r="N34" s="304">
        <f>125974.25/7458</f>
        <v>16.89115714668812</v>
      </c>
      <c r="O34" s="245"/>
      <c r="P34" s="245"/>
      <c r="Q34" s="281"/>
      <c r="R34" s="307" t="s">
        <v>599</v>
      </c>
      <c r="S34" s="308">
        <f>+S32/S33</f>
        <v>0.13499455377584293</v>
      </c>
      <c r="T34" s="245"/>
      <c r="U34" s="245"/>
      <c r="V34" s="311"/>
      <c r="W34" s="307" t="s">
        <v>604</v>
      </c>
      <c r="X34" s="308">
        <f>X33*1.03</f>
        <v>0.10161367102367246</v>
      </c>
      <c r="Y34" s="245"/>
      <c r="Z34" s="245"/>
      <c r="AA34" s="281"/>
      <c r="AB34" s="282" t="s">
        <v>587</v>
      </c>
      <c r="AC34" s="304">
        <f>745.27/38</f>
        <v>19.612368421052633</v>
      </c>
      <c r="AD34" s="245"/>
      <c r="AE34" s="245"/>
      <c r="AF34" s="292"/>
      <c r="AG34" s="279" t="s">
        <v>553</v>
      </c>
      <c r="AH34" s="293"/>
      <c r="AI34" s="284"/>
      <c r="AJ34" s="245"/>
      <c r="AK34" s="281"/>
      <c r="AL34" s="307" t="s">
        <v>599</v>
      </c>
      <c r="AM34" s="308">
        <f>+AM32/AM33</f>
        <v>0.1041089668620403</v>
      </c>
      <c r="AN34" s="245"/>
      <c r="AO34" s="245"/>
      <c r="AP34" s="292"/>
      <c r="AQ34" s="279" t="s">
        <v>553</v>
      </c>
      <c r="AR34" s="293"/>
      <c r="AS34" s="284"/>
      <c r="AT34" s="245"/>
      <c r="AU34" s="245"/>
      <c r="AV34" s="245"/>
      <c r="AW34" s="245"/>
      <c r="AX34" s="245"/>
      <c r="AY34" s="245"/>
      <c r="AZ34" s="292"/>
      <c r="BA34" s="279" t="s">
        <v>553</v>
      </c>
      <c r="BB34" s="293"/>
      <c r="BC34" s="284"/>
      <c r="BD34" s="285"/>
      <c r="BE34" s="292"/>
      <c r="BF34" s="279" t="s">
        <v>553</v>
      </c>
      <c r="BG34" s="293"/>
      <c r="BH34" s="284"/>
      <c r="BI34" s="245"/>
      <c r="BJ34" s="245"/>
      <c r="BK34" s="245"/>
      <c r="BL34" s="245"/>
      <c r="BM34" s="245"/>
      <c r="BN34" s="245"/>
      <c r="BO34" s="292"/>
      <c r="BP34" s="279" t="s">
        <v>553</v>
      </c>
      <c r="BQ34" s="293"/>
      <c r="BR34" s="284"/>
      <c r="BS34" s="285"/>
      <c r="BT34" s="292"/>
      <c r="BU34" s="279" t="s">
        <v>553</v>
      </c>
      <c r="BV34" s="293"/>
      <c r="BW34" s="284"/>
      <c r="BX34" s="285"/>
      <c r="BY34" s="294"/>
      <c r="BZ34" s="279" t="s">
        <v>553</v>
      </c>
      <c r="CA34" s="295"/>
      <c r="CC34" s="245"/>
      <c r="CD34" s="26" t="s">
        <v>566</v>
      </c>
      <c r="CE34" s="30" t="s">
        <v>567</v>
      </c>
      <c r="CF34" s="283">
        <f>insumos!$H$113*6</f>
        <v>0.16205672317302872</v>
      </c>
      <c r="CG34" s="300" t="s">
        <v>662</v>
      </c>
      <c r="CH34" s="291"/>
      <c r="CI34" s="294"/>
      <c r="CJ34" s="279" t="s">
        <v>553</v>
      </c>
      <c r="CK34" s="295"/>
      <c r="CM34" s="291"/>
      <c r="CN34" s="26" t="s">
        <v>663</v>
      </c>
      <c r="CO34" s="30" t="s">
        <v>664</v>
      </c>
      <c r="CP34" s="31">
        <f>insumos!$H$183*12</f>
        <v>1.1270553672316383</v>
      </c>
      <c r="CQ34" s="296" t="s">
        <v>568</v>
      </c>
      <c r="CR34" s="291"/>
      <c r="CS34" s="26" t="s">
        <v>566</v>
      </c>
      <c r="CT34" s="30" t="s">
        <v>567</v>
      </c>
      <c r="CU34" s="283">
        <f>insumos!$H$113*6</f>
        <v>0.16205672317302872</v>
      </c>
      <c r="CV34" s="1" t="s">
        <v>662</v>
      </c>
      <c r="CW34" s="291"/>
      <c r="CX34" s="281"/>
      <c r="CY34" s="307" t="s">
        <v>599</v>
      </c>
      <c r="CZ34" s="308">
        <f>+CZ32/CZ33</f>
        <v>0.28863740762021617</v>
      </c>
      <c r="DA34" s="245"/>
      <c r="DB34" s="291"/>
      <c r="DC34" s="292"/>
      <c r="DD34" s="280" t="s">
        <v>553</v>
      </c>
      <c r="DE34" s="293"/>
      <c r="DF34" s="291"/>
      <c r="DG34" s="291"/>
      <c r="DH34" s="26" t="s">
        <v>596</v>
      </c>
      <c r="DI34" s="30" t="s">
        <v>597</v>
      </c>
      <c r="DJ34" s="283">
        <f>insumos!$H$53*8</f>
        <v>1.2480000000000002</v>
      </c>
      <c r="DK34" s="1" t="s">
        <v>561</v>
      </c>
      <c r="DL34" s="291"/>
      <c r="DM34" s="292"/>
      <c r="DN34" s="279" t="s">
        <v>553</v>
      </c>
      <c r="DO34" s="293"/>
      <c r="DP34" s="284"/>
      <c r="DQ34" s="285"/>
      <c r="DR34" s="281"/>
      <c r="DS34" s="286" t="s">
        <v>587</v>
      </c>
      <c r="DT34" s="304">
        <v>16.13</v>
      </c>
      <c r="DU34" s="245"/>
      <c r="DV34" s="245"/>
      <c r="DW34" s="26" t="s">
        <v>665</v>
      </c>
      <c r="DX34" s="30" t="s">
        <v>666</v>
      </c>
      <c r="DY34" s="283">
        <f>insumos!H142*21</f>
        <v>1.0977272727272727</v>
      </c>
      <c r="DZ34" s="300" t="s">
        <v>660</v>
      </c>
      <c r="EA34" s="245"/>
      <c r="EB34" s="26"/>
      <c r="EC34" s="30"/>
      <c r="ED34" s="283"/>
      <c r="EE34" s="300"/>
    </row>
    <row r="35" spans="1:135" x14ac:dyDescent="0.25">
      <c r="A35" s="245"/>
      <c r="B35" s="281">
        <v>6290</v>
      </c>
      <c r="C35" s="282" t="s">
        <v>573</v>
      </c>
      <c r="D35" s="283">
        <f>insumos!H154*12</f>
        <v>1.1760000000000002</v>
      </c>
      <c r="E35" s="300" t="s">
        <v>568</v>
      </c>
      <c r="F35" s="285"/>
      <c r="G35" s="281"/>
      <c r="H35" s="307" t="s">
        <v>599</v>
      </c>
      <c r="I35" s="308">
        <f>+I33/I34</f>
        <v>0.3172579866068388</v>
      </c>
      <c r="J35" s="269"/>
      <c r="K35" s="245"/>
      <c r="L35" s="281"/>
      <c r="M35" s="310" t="s">
        <v>599</v>
      </c>
      <c r="N35" s="308">
        <f>+N33/N34</f>
        <v>0.13950821997551832</v>
      </c>
      <c r="O35" s="245"/>
      <c r="P35" s="245"/>
      <c r="Q35" s="311"/>
      <c r="R35" s="307" t="s">
        <v>604</v>
      </c>
      <c r="S35" s="308">
        <f>S34*1.03</f>
        <v>0.13904439038911823</v>
      </c>
      <c r="T35" s="245"/>
      <c r="U35" s="245"/>
      <c r="V35" s="245"/>
      <c r="W35" s="245"/>
      <c r="X35" s="245"/>
      <c r="Y35" s="245"/>
      <c r="Z35" s="245"/>
      <c r="AA35" s="281"/>
      <c r="AB35" s="307" t="s">
        <v>599</v>
      </c>
      <c r="AC35" s="308">
        <f>+AC33/AC34</f>
        <v>0.13111058463830355</v>
      </c>
      <c r="AD35" s="245"/>
      <c r="AE35" s="245"/>
      <c r="AF35" s="281">
        <v>5138</v>
      </c>
      <c r="AG35" s="282" t="s">
        <v>564</v>
      </c>
      <c r="AH35" s="283">
        <f>insumos!H113*12</f>
        <v>0.32411344634605743</v>
      </c>
      <c r="AI35" s="284" t="s">
        <v>568</v>
      </c>
      <c r="AJ35" s="245"/>
      <c r="AK35" s="311"/>
      <c r="AL35" s="307" t="s">
        <v>604</v>
      </c>
      <c r="AM35" s="308">
        <f>AM34*1.03</f>
        <v>0.10723223586790151</v>
      </c>
      <c r="AN35" s="245"/>
      <c r="AO35" s="245"/>
      <c r="AP35" s="281">
        <v>4102</v>
      </c>
      <c r="AQ35" s="282" t="s">
        <v>576</v>
      </c>
      <c r="AR35" s="283">
        <f>insumos!$H$115*28</f>
        <v>0.924</v>
      </c>
      <c r="AS35" s="300" t="s">
        <v>577</v>
      </c>
      <c r="AT35" s="245"/>
      <c r="AU35" s="245"/>
      <c r="AV35" s="245"/>
      <c r="AW35" s="245"/>
      <c r="AX35" s="245"/>
      <c r="AY35" s="245"/>
      <c r="AZ35" s="281">
        <v>4102</v>
      </c>
      <c r="BA35" s="282" t="s">
        <v>576</v>
      </c>
      <c r="BB35" s="283">
        <f>insumos!$H$115*9</f>
        <v>0.29700000000000004</v>
      </c>
      <c r="BC35" s="300" t="s">
        <v>579</v>
      </c>
      <c r="BD35" s="291"/>
      <c r="BE35" s="26" t="s">
        <v>566</v>
      </c>
      <c r="BF35" s="30" t="s">
        <v>567</v>
      </c>
      <c r="BG35" s="283">
        <f>insumos!$H$113*12</f>
        <v>0.32411344634605743</v>
      </c>
      <c r="BH35" s="300" t="s">
        <v>568</v>
      </c>
      <c r="BI35" s="245"/>
      <c r="BJ35" s="245"/>
      <c r="BK35" s="245"/>
      <c r="BL35" s="245"/>
      <c r="BM35" s="245"/>
      <c r="BN35" s="245"/>
      <c r="BO35" s="281">
        <v>4102</v>
      </c>
      <c r="BP35" s="282" t="s">
        <v>576</v>
      </c>
      <c r="BQ35" s="283">
        <f>insumos!$H$115*4</f>
        <v>0.132</v>
      </c>
      <c r="BR35" s="300" t="s">
        <v>531</v>
      </c>
      <c r="BS35" s="291"/>
      <c r="BT35" s="26" t="s">
        <v>566</v>
      </c>
      <c r="BU35" s="30" t="s">
        <v>567</v>
      </c>
      <c r="BV35" s="283">
        <f>insumos!$H$113*5</f>
        <v>0.13504726931085725</v>
      </c>
      <c r="BW35" s="300" t="s">
        <v>652</v>
      </c>
      <c r="BX35" s="291"/>
      <c r="BY35" s="26" t="s">
        <v>663</v>
      </c>
      <c r="BZ35" s="30" t="s">
        <v>664</v>
      </c>
      <c r="CA35" s="31">
        <f>insumos!$H$183*12</f>
        <v>1.1270553672316383</v>
      </c>
      <c r="CB35" s="296" t="s">
        <v>568</v>
      </c>
      <c r="CC35" s="245"/>
      <c r="CD35" s="26" t="s">
        <v>589</v>
      </c>
      <c r="CE35" s="30" t="s">
        <v>590</v>
      </c>
      <c r="CF35" s="283">
        <f>insumos!$H$80*6</f>
        <v>1.326</v>
      </c>
      <c r="CG35" s="300" t="s">
        <v>662</v>
      </c>
      <c r="CH35" s="291"/>
      <c r="CI35" s="26" t="s">
        <v>566</v>
      </c>
      <c r="CJ35" s="30" t="s">
        <v>567</v>
      </c>
      <c r="CK35" s="283">
        <f>insumos!$H$113*12</f>
        <v>0.32411344634605743</v>
      </c>
      <c r="CL35" s="300" t="s">
        <v>568</v>
      </c>
      <c r="CM35" s="291"/>
      <c r="CN35" s="281">
        <v>5202</v>
      </c>
      <c r="CO35" s="282" t="s">
        <v>586</v>
      </c>
      <c r="CP35" s="31">
        <f>insumos!$H$114*12</f>
        <v>0.3161371428571429</v>
      </c>
      <c r="CQ35" s="296" t="s">
        <v>568</v>
      </c>
      <c r="CR35" s="291"/>
      <c r="CS35" s="26" t="s">
        <v>589</v>
      </c>
      <c r="CT35" s="30" t="s">
        <v>590</v>
      </c>
      <c r="CU35" s="283">
        <f>insumos!$H$80*6</f>
        <v>1.326</v>
      </c>
      <c r="CV35" s="1" t="s">
        <v>662</v>
      </c>
      <c r="CW35" s="291"/>
      <c r="CX35" s="311"/>
      <c r="CY35" s="307" t="s">
        <v>604</v>
      </c>
      <c r="CZ35" s="308">
        <f>CZ34*1.03</f>
        <v>0.29729652984882265</v>
      </c>
      <c r="DA35" s="245"/>
      <c r="DB35" s="291"/>
      <c r="DC35" s="26" t="s">
        <v>558</v>
      </c>
      <c r="DD35" s="1" t="s">
        <v>559</v>
      </c>
      <c r="DE35" s="283">
        <f>insumos!$H$65*10</f>
        <v>1.3799979711027055</v>
      </c>
      <c r="DF35" s="291"/>
      <c r="DG35" s="291"/>
      <c r="DH35" s="297"/>
      <c r="DI35" s="298" t="s">
        <v>5</v>
      </c>
      <c r="DJ35" s="299">
        <f>SUM(DJ25:DJ34)</f>
        <v>4.161852974521893</v>
      </c>
      <c r="DK35" s="245"/>
      <c r="DL35" s="291"/>
      <c r="DM35" s="281"/>
      <c r="DN35" s="282"/>
      <c r="DO35" s="283"/>
      <c r="DP35" s="300"/>
      <c r="DQ35" s="291"/>
      <c r="DR35" s="281"/>
      <c r="DS35" s="310" t="s">
        <v>599</v>
      </c>
      <c r="DT35" s="308">
        <f>+DT33/DT34</f>
        <v>0.1685919577350959</v>
      </c>
      <c r="DU35" s="245"/>
      <c r="DV35" s="245"/>
      <c r="DW35" s="297"/>
      <c r="DX35" s="303" t="s">
        <v>5</v>
      </c>
      <c r="DY35" s="299">
        <f>SUM(DY24:DY34)</f>
        <v>5.217867940499148</v>
      </c>
      <c r="DZ35" s="245"/>
      <c r="EA35" s="245"/>
      <c r="EB35" s="281"/>
      <c r="EC35" s="30"/>
      <c r="ED35" s="283"/>
      <c r="EE35" s="300"/>
    </row>
    <row r="36" spans="1:135" x14ac:dyDescent="0.25">
      <c r="A36" s="245"/>
      <c r="B36" s="281">
        <v>5202</v>
      </c>
      <c r="C36" s="282" t="s">
        <v>586</v>
      </c>
      <c r="D36" s="283">
        <f>insumos!$H$114*12</f>
        <v>0.3161371428571429</v>
      </c>
      <c r="E36" s="300" t="s">
        <v>568</v>
      </c>
      <c r="F36" s="285"/>
      <c r="G36" s="311"/>
      <c r="H36" s="307" t="s">
        <v>604</v>
      </c>
      <c r="I36" s="308">
        <f>I35*1.03</f>
        <v>0.32677572620504397</v>
      </c>
      <c r="J36" s="269"/>
      <c r="K36" s="245"/>
      <c r="L36" s="311"/>
      <c r="M36" s="310" t="s">
        <v>604</v>
      </c>
      <c r="N36" s="308">
        <f>N35*1.03</f>
        <v>0.14369346657478388</v>
      </c>
      <c r="O36" s="245"/>
      <c r="P36" s="245"/>
      <c r="Q36" s="245"/>
      <c r="R36" s="245"/>
      <c r="S36" s="245"/>
      <c r="T36" s="245"/>
      <c r="U36" s="245"/>
      <c r="V36" s="263">
        <v>993271</v>
      </c>
      <c r="W36" s="264" t="s">
        <v>667</v>
      </c>
      <c r="X36" s="267"/>
      <c r="Y36" s="245"/>
      <c r="Z36" s="245"/>
      <c r="AA36" s="311"/>
      <c r="AB36" s="307" t="s">
        <v>604</v>
      </c>
      <c r="AC36" s="308">
        <f>AC35*1.03</f>
        <v>0.13504390217745266</v>
      </c>
      <c r="AD36" s="245"/>
      <c r="AE36" s="245"/>
      <c r="AF36" s="281">
        <v>4741</v>
      </c>
      <c r="AG36" s="282" t="s">
        <v>562</v>
      </c>
      <c r="AH36" s="283">
        <f>insumos!$H$90*12</f>
        <v>3.6960000000000006</v>
      </c>
      <c r="AI36" s="300" t="s">
        <v>568</v>
      </c>
      <c r="AJ36" s="245"/>
      <c r="AK36" s="245"/>
      <c r="AL36" s="245"/>
      <c r="AM36" s="245"/>
      <c r="AN36" s="245"/>
      <c r="AO36" s="245"/>
      <c r="AP36" s="281">
        <v>6229</v>
      </c>
      <c r="AQ36" s="30" t="s">
        <v>588</v>
      </c>
      <c r="AR36" s="283">
        <f>insumos!$I$265*28</f>
        <v>0.6025954662566883</v>
      </c>
      <c r="AS36" s="300" t="s">
        <v>577</v>
      </c>
      <c r="AT36" s="245"/>
      <c r="AU36" s="245"/>
      <c r="AV36" s="245"/>
      <c r="AW36" s="245"/>
      <c r="AX36" s="245"/>
      <c r="AY36" s="245"/>
      <c r="AZ36" s="281">
        <v>6229</v>
      </c>
      <c r="BA36" s="30" t="s">
        <v>588</v>
      </c>
      <c r="BB36" s="283">
        <f>insumos!$I$265*9</f>
        <v>0.19369139986822123</v>
      </c>
      <c r="BC36" s="300" t="s">
        <v>579</v>
      </c>
      <c r="BD36" s="291"/>
      <c r="BE36" s="281">
        <v>6229</v>
      </c>
      <c r="BF36" s="30" t="s">
        <v>588</v>
      </c>
      <c r="BG36" s="283">
        <f>insumos!$I$265*12</f>
        <v>0.25825519982429496</v>
      </c>
      <c r="BH36" s="300" t="s">
        <v>568</v>
      </c>
      <c r="BI36" s="245"/>
      <c r="BJ36" s="245"/>
      <c r="BK36" s="245"/>
      <c r="BL36" s="245"/>
      <c r="BM36" s="245"/>
      <c r="BN36" s="245"/>
      <c r="BO36" s="26" t="s">
        <v>589</v>
      </c>
      <c r="BP36" s="30" t="s">
        <v>590</v>
      </c>
      <c r="BQ36" s="283">
        <f>insumos!$H$80*4</f>
        <v>0.884</v>
      </c>
      <c r="BR36" s="300" t="s">
        <v>531</v>
      </c>
      <c r="BS36" s="291"/>
      <c r="BT36" s="26" t="s">
        <v>668</v>
      </c>
      <c r="BU36" s="30" t="s">
        <v>669</v>
      </c>
      <c r="BV36" s="283">
        <f>insumos!$H$79*5</f>
        <v>1.07</v>
      </c>
      <c r="BW36" s="300" t="s">
        <v>652</v>
      </c>
      <c r="BX36" s="291"/>
      <c r="BY36" s="281">
        <v>5202</v>
      </c>
      <c r="BZ36" s="282" t="s">
        <v>586</v>
      </c>
      <c r="CA36" s="31">
        <f>insumos!$H$114*12</f>
        <v>0.3161371428571429</v>
      </c>
      <c r="CB36" s="296" t="s">
        <v>568</v>
      </c>
      <c r="CC36" s="245"/>
      <c r="CD36" s="281"/>
      <c r="CE36" s="30"/>
      <c r="CF36" s="283"/>
      <c r="CG36" s="300"/>
      <c r="CH36" s="291"/>
      <c r="CI36" s="281">
        <v>6229</v>
      </c>
      <c r="CJ36" s="30" t="s">
        <v>588</v>
      </c>
      <c r="CK36" s="283">
        <f>insumos!$I$265*12</f>
        <v>0.25825519982429496</v>
      </c>
      <c r="CL36" s="300" t="s">
        <v>568</v>
      </c>
      <c r="CM36" s="291"/>
      <c r="CN36" s="281">
        <v>6229</v>
      </c>
      <c r="CO36" s="30" t="s">
        <v>588</v>
      </c>
      <c r="CP36" s="31">
        <f>insumos!$I$265*12</f>
        <v>0.25825519982429496</v>
      </c>
      <c r="CQ36" s="296" t="s">
        <v>568</v>
      </c>
      <c r="CR36" s="291"/>
      <c r="CS36" s="297"/>
      <c r="CT36" s="298" t="s">
        <v>5</v>
      </c>
      <c r="CU36" s="299">
        <f>SUM(CU26:CU35)</f>
        <v>3.9247861001963833</v>
      </c>
      <c r="CV36" s="245"/>
      <c r="CW36" s="291"/>
      <c r="CX36" s="291"/>
      <c r="CY36" s="291"/>
      <c r="CZ36" s="291"/>
      <c r="DA36" s="291"/>
      <c r="DB36" s="291"/>
      <c r="DC36" s="26" t="s">
        <v>566</v>
      </c>
      <c r="DD36" s="30" t="s">
        <v>567</v>
      </c>
      <c r="DE36" s="283">
        <f>insumos!$H$113*10</f>
        <v>0.2700945386217145</v>
      </c>
      <c r="DF36" s="291"/>
      <c r="DG36" s="291"/>
      <c r="DH36" s="281"/>
      <c r="DI36" s="282" t="s">
        <v>587</v>
      </c>
      <c r="DJ36" s="304">
        <v>12.74</v>
      </c>
      <c r="DK36" s="245"/>
      <c r="DL36" s="291"/>
      <c r="DM36" s="281">
        <v>6229</v>
      </c>
      <c r="DN36" s="30" t="s">
        <v>588</v>
      </c>
      <c r="DO36" s="283">
        <f>insumos!$I$265*12</f>
        <v>0.25825519982429496</v>
      </c>
      <c r="DP36" s="300" t="s">
        <v>568</v>
      </c>
      <c r="DQ36" s="291"/>
      <c r="DR36" s="311"/>
      <c r="DS36" s="310" t="s">
        <v>604</v>
      </c>
      <c r="DT36" s="308">
        <f>DT35*1.03</f>
        <v>0.17364971646714877</v>
      </c>
      <c r="DU36" s="245"/>
      <c r="DV36" s="245"/>
      <c r="DW36" s="281"/>
      <c r="DX36" s="286" t="s">
        <v>587</v>
      </c>
      <c r="DY36" s="304">
        <v>20.9</v>
      </c>
      <c r="DZ36" s="245"/>
      <c r="EA36" s="245"/>
      <c r="EB36" s="281"/>
      <c r="EC36" s="30"/>
      <c r="ED36" s="283"/>
      <c r="EE36" s="300"/>
    </row>
    <row r="37" spans="1:135" x14ac:dyDescent="0.25">
      <c r="A37" s="245"/>
      <c r="B37" s="281">
        <v>6229</v>
      </c>
      <c r="C37" s="30" t="s">
        <v>588</v>
      </c>
      <c r="D37" s="283">
        <f>insumos!$I$265*12</f>
        <v>0.25825519982429496</v>
      </c>
      <c r="E37" s="300" t="s">
        <v>568</v>
      </c>
      <c r="F37" s="291"/>
      <c r="G37" s="291"/>
      <c r="H37" s="291"/>
      <c r="I37" s="291"/>
      <c r="J37" s="245"/>
      <c r="K37" s="245"/>
      <c r="L37" s="245"/>
      <c r="M37" s="245"/>
      <c r="N37" s="245"/>
      <c r="O37" s="245"/>
      <c r="P37" s="245"/>
      <c r="Q37" s="263">
        <v>998009</v>
      </c>
      <c r="R37" s="264" t="s">
        <v>670</v>
      </c>
      <c r="S37" s="267"/>
      <c r="T37" s="245"/>
      <c r="U37" s="245"/>
      <c r="V37" s="275" t="s">
        <v>492</v>
      </c>
      <c r="W37" s="276" t="s">
        <v>495</v>
      </c>
      <c r="X37" s="275" t="s">
        <v>467</v>
      </c>
      <c r="Y37" s="245"/>
      <c r="Z37" s="245"/>
      <c r="AA37" s="245"/>
      <c r="AB37" s="245"/>
      <c r="AC37" s="245"/>
      <c r="AD37" s="245"/>
      <c r="AE37" s="245"/>
      <c r="AF37" s="281"/>
      <c r="AG37" s="282"/>
      <c r="AH37" s="283"/>
      <c r="AI37" s="300"/>
      <c r="AJ37" s="245"/>
      <c r="AK37" s="263">
        <v>1987060</v>
      </c>
      <c r="AL37" s="264" t="s">
        <v>671</v>
      </c>
      <c r="AM37" s="267"/>
      <c r="AN37" s="245"/>
      <c r="AO37" s="245"/>
      <c r="AP37" s="281">
        <v>6254</v>
      </c>
      <c r="AQ37" s="30" t="s">
        <v>600</v>
      </c>
      <c r="AR37" s="283">
        <f>+insumos!$I$208*28</f>
        <v>1.2448085961969924</v>
      </c>
      <c r="AS37" s="300" t="s">
        <v>577</v>
      </c>
      <c r="AT37" s="245"/>
      <c r="AU37" s="245"/>
      <c r="AV37" s="245"/>
      <c r="AW37" s="245"/>
      <c r="AX37" s="245"/>
      <c r="AY37" s="245"/>
      <c r="AZ37" s="281">
        <v>6254</v>
      </c>
      <c r="BA37" s="30" t="s">
        <v>600</v>
      </c>
      <c r="BB37" s="283">
        <f>+insumos!$I$208*9</f>
        <v>0.40011704877760473</v>
      </c>
      <c r="BC37" s="300" t="s">
        <v>579</v>
      </c>
      <c r="BD37" s="291"/>
      <c r="BE37" s="281">
        <v>6254</v>
      </c>
      <c r="BF37" s="30" t="s">
        <v>600</v>
      </c>
      <c r="BG37" s="283">
        <f>+insumos!$I$208*12</f>
        <v>0.5334893983701396</v>
      </c>
      <c r="BH37" s="300" t="s">
        <v>568</v>
      </c>
      <c r="BI37" s="245"/>
      <c r="BJ37" s="245"/>
      <c r="BK37" s="245"/>
      <c r="BL37" s="245"/>
      <c r="BM37" s="245"/>
      <c r="BN37" s="245"/>
      <c r="BO37" s="281"/>
      <c r="BP37" s="30"/>
      <c r="BQ37" s="283"/>
      <c r="BR37" s="300"/>
      <c r="BS37" s="291"/>
      <c r="BT37" s="281"/>
      <c r="BU37" s="30"/>
      <c r="BV37" s="283"/>
      <c r="BW37" s="300"/>
      <c r="BX37" s="291"/>
      <c r="BY37" s="281">
        <v>6229</v>
      </c>
      <c r="BZ37" s="30" t="s">
        <v>588</v>
      </c>
      <c r="CA37" s="31">
        <f>insumos!$I$265*12</f>
        <v>0.25825519982429496</v>
      </c>
      <c r="CB37" s="296" t="s">
        <v>568</v>
      </c>
      <c r="CC37" s="245"/>
      <c r="CD37" s="26"/>
      <c r="CE37" s="30"/>
      <c r="CF37" s="283"/>
      <c r="CG37" s="300"/>
      <c r="CH37" s="291"/>
      <c r="CI37" s="281">
        <v>6254</v>
      </c>
      <c r="CJ37" s="30" t="s">
        <v>600</v>
      </c>
      <c r="CK37" s="283">
        <f>+insumos!$I$208*12</f>
        <v>0.5334893983701396</v>
      </c>
      <c r="CL37" s="300" t="s">
        <v>568</v>
      </c>
      <c r="CM37" s="291"/>
      <c r="CN37" s="281">
        <v>6254</v>
      </c>
      <c r="CO37" s="30" t="s">
        <v>600</v>
      </c>
      <c r="CP37" s="31">
        <f>+insumos!$I$208*12</f>
        <v>0.5334893983701396</v>
      </c>
      <c r="CQ37" s="296" t="s">
        <v>568</v>
      </c>
      <c r="CR37" s="291"/>
      <c r="CS37" s="281"/>
      <c r="CT37" s="282" t="s">
        <v>587</v>
      </c>
      <c r="CU37" s="304">
        <f>331.56/26</f>
        <v>12.752307692307692</v>
      </c>
      <c r="CV37" s="245"/>
      <c r="CW37" s="291"/>
      <c r="CX37" s="291"/>
      <c r="CY37" s="291"/>
      <c r="CZ37" s="291"/>
      <c r="DA37" s="291"/>
      <c r="DB37" s="291"/>
      <c r="DC37" s="297"/>
      <c r="DD37" s="303" t="s">
        <v>5</v>
      </c>
      <c r="DE37" s="299">
        <f>SUM(DE28:DE36)</f>
        <v>3.808068788162534</v>
      </c>
      <c r="DF37" s="291"/>
      <c r="DG37" s="291"/>
      <c r="DH37" s="281"/>
      <c r="DI37" s="307" t="s">
        <v>599</v>
      </c>
      <c r="DJ37" s="308">
        <f>+DJ35/DJ36</f>
        <v>0.3266760576547797</v>
      </c>
      <c r="DK37" s="245"/>
      <c r="DL37" s="291"/>
      <c r="DM37" s="281">
        <v>6254</v>
      </c>
      <c r="DN37" s="30" t="s">
        <v>600</v>
      </c>
      <c r="DO37" s="283">
        <f>+insumos!$I$208*12</f>
        <v>0.5334893983701396</v>
      </c>
      <c r="DP37" s="300" t="s">
        <v>568</v>
      </c>
      <c r="DQ37" s="291"/>
      <c r="DR37" s="291"/>
      <c r="DS37" s="291"/>
      <c r="DT37" s="291"/>
      <c r="DU37" s="291"/>
      <c r="DV37" s="291"/>
      <c r="DW37" s="281"/>
      <c r="DX37" s="310" t="s">
        <v>599</v>
      </c>
      <c r="DY37" s="308">
        <f>+DY35/DY36</f>
        <v>0.24965875313393054</v>
      </c>
      <c r="DZ37" s="291"/>
      <c r="EA37" s="291"/>
      <c r="EB37" s="26"/>
      <c r="EC37" s="30"/>
      <c r="ED37" s="283"/>
      <c r="EE37" s="300"/>
    </row>
    <row r="38" spans="1:135" x14ac:dyDescent="0.25">
      <c r="A38" s="245"/>
      <c r="B38" s="281">
        <v>6254</v>
      </c>
      <c r="C38" s="30" t="s">
        <v>600</v>
      </c>
      <c r="D38" s="283">
        <f>+insumos!$I$208*12</f>
        <v>0.5334893983701396</v>
      </c>
      <c r="E38" s="300" t="s">
        <v>568</v>
      </c>
      <c r="F38" s="291"/>
      <c r="G38" s="263">
        <v>437025</v>
      </c>
      <c r="H38" s="264" t="s">
        <v>672</v>
      </c>
      <c r="I38" s="267">
        <v>720</v>
      </c>
      <c r="J38" s="269">
        <f>I38/E2</f>
        <v>17.883755588673623</v>
      </c>
      <c r="K38" s="245"/>
      <c r="L38" s="263">
        <v>436051</v>
      </c>
      <c r="M38" s="264" t="s">
        <v>673</v>
      </c>
      <c r="N38" s="265">
        <v>553</v>
      </c>
      <c r="O38" s="266">
        <f>N38/E2</f>
        <v>13.735717834078491</v>
      </c>
      <c r="P38" s="245"/>
      <c r="Q38" s="275" t="s">
        <v>492</v>
      </c>
      <c r="R38" s="276" t="s">
        <v>495</v>
      </c>
      <c r="S38" s="275" t="s">
        <v>467</v>
      </c>
      <c r="T38" s="245"/>
      <c r="U38" s="245"/>
      <c r="V38" s="278"/>
      <c r="W38" s="279" t="s">
        <v>134</v>
      </c>
      <c r="X38" s="278"/>
      <c r="Y38" s="245"/>
      <c r="Z38" s="245"/>
      <c r="AA38" s="263">
        <v>991022</v>
      </c>
      <c r="AB38" s="264" t="s">
        <v>674</v>
      </c>
      <c r="AC38" s="267"/>
      <c r="AD38" s="245"/>
      <c r="AE38" s="245"/>
      <c r="AF38" s="281"/>
      <c r="AG38" s="282"/>
      <c r="AH38" s="283"/>
      <c r="AI38" s="269"/>
      <c r="AJ38" s="245"/>
      <c r="AK38" s="275" t="s">
        <v>492</v>
      </c>
      <c r="AL38" s="276" t="s">
        <v>495</v>
      </c>
      <c r="AM38" s="275" t="s">
        <v>467</v>
      </c>
      <c r="AN38" s="245"/>
      <c r="AO38" s="245"/>
      <c r="AP38" s="281">
        <v>5868</v>
      </c>
      <c r="AQ38" s="30" t="s">
        <v>605</v>
      </c>
      <c r="AR38" s="283">
        <f>insumos!$I$243*28</f>
        <v>0.53088</v>
      </c>
      <c r="AS38" s="300" t="s">
        <v>577</v>
      </c>
      <c r="AT38" s="245"/>
      <c r="AU38" s="245"/>
      <c r="AV38" s="245"/>
      <c r="AW38" s="245"/>
      <c r="AX38" s="245"/>
      <c r="AY38" s="245"/>
      <c r="AZ38" s="26" t="s">
        <v>606</v>
      </c>
      <c r="BA38" s="30" t="s">
        <v>607</v>
      </c>
      <c r="BB38" s="283">
        <f>insumos!$H$197*9</f>
        <v>1.3087058823529412</v>
      </c>
      <c r="BC38" s="300" t="s">
        <v>579</v>
      </c>
      <c r="BD38" s="291"/>
      <c r="BE38" s="26" t="s">
        <v>608</v>
      </c>
      <c r="BF38" s="30" t="s">
        <v>609</v>
      </c>
      <c r="BG38" s="283">
        <f>insumos!$H$176*12</f>
        <v>0.648</v>
      </c>
      <c r="BH38" s="300" t="s">
        <v>568</v>
      </c>
      <c r="BI38" s="245"/>
      <c r="BJ38" s="245"/>
      <c r="BK38" s="245"/>
      <c r="BL38" s="245"/>
      <c r="BM38" s="245"/>
      <c r="BN38" s="245"/>
      <c r="BO38" s="26"/>
      <c r="BP38" s="30"/>
      <c r="BQ38" s="283"/>
      <c r="BR38" s="300"/>
      <c r="BS38" s="291"/>
      <c r="BT38" s="26"/>
      <c r="BU38" s="30"/>
      <c r="BV38" s="283"/>
      <c r="BW38" s="300"/>
      <c r="BX38" s="291"/>
      <c r="BY38" s="281">
        <v>6254</v>
      </c>
      <c r="BZ38" s="30" t="s">
        <v>600</v>
      </c>
      <c r="CA38" s="31">
        <f>+insumos!$I$208*12</f>
        <v>0.5334893983701396</v>
      </c>
      <c r="CB38" s="296" t="s">
        <v>568</v>
      </c>
      <c r="CC38" s="245"/>
      <c r="CD38" s="297"/>
      <c r="CE38" s="298" t="s">
        <v>5</v>
      </c>
      <c r="CF38" s="299">
        <f>SUM(CF26:CF37)</f>
        <v>3.9247861001963833</v>
      </c>
      <c r="CG38" s="300"/>
      <c r="CH38" s="291"/>
      <c r="CI38" s="26" t="s">
        <v>675</v>
      </c>
      <c r="CJ38" s="30" t="s">
        <v>676</v>
      </c>
      <c r="CK38" s="283">
        <f>insumos!$H$194*12</f>
        <v>2.4000000000000004</v>
      </c>
      <c r="CL38" s="300" t="s">
        <v>568</v>
      </c>
      <c r="CM38" s="291"/>
      <c r="CN38" s="297"/>
      <c r="CO38" s="298" t="s">
        <v>5</v>
      </c>
      <c r="CP38" s="299">
        <f>SUM(CP26:CP37)</f>
        <v>5.073778892279894</v>
      </c>
      <c r="CR38" s="291"/>
      <c r="CS38" s="281"/>
      <c r="CT38" s="307" t="s">
        <v>599</v>
      </c>
      <c r="CU38" s="308">
        <f>+CU36/CU37</f>
        <v>0.30777065570366136</v>
      </c>
      <c r="CV38" s="245"/>
      <c r="CW38" s="291"/>
      <c r="CX38" s="291"/>
      <c r="CY38" s="291"/>
      <c r="CZ38" s="291"/>
      <c r="DA38" s="291"/>
      <c r="DB38" s="291"/>
      <c r="DC38" s="281"/>
      <c r="DD38" s="286" t="s">
        <v>587</v>
      </c>
      <c r="DE38" s="304">
        <v>11.61</v>
      </c>
      <c r="DF38" s="291"/>
      <c r="DG38" s="291"/>
      <c r="DH38" s="311"/>
      <c r="DI38" s="307" t="s">
        <v>604</v>
      </c>
      <c r="DJ38" s="308">
        <f>DJ37*1.03</f>
        <v>0.3364763393844231</v>
      </c>
      <c r="DK38" s="245"/>
      <c r="DL38" s="291"/>
      <c r="DM38" s="281">
        <v>5868</v>
      </c>
      <c r="DN38" s="30" t="s">
        <v>605</v>
      </c>
      <c r="DO38" s="283">
        <f>insumos!$I$243*12</f>
        <v>0.22752</v>
      </c>
      <c r="DP38" s="300" t="s">
        <v>568</v>
      </c>
      <c r="DQ38" s="291"/>
      <c r="DR38" s="291"/>
      <c r="DS38" s="291"/>
      <c r="DT38" s="291"/>
      <c r="DU38" s="291"/>
      <c r="DV38" s="291"/>
      <c r="DW38" s="311"/>
      <c r="DX38" s="310" t="s">
        <v>604</v>
      </c>
      <c r="DY38" s="308">
        <f>DY37*1.03</f>
        <v>0.25714851572794845</v>
      </c>
      <c r="DZ38" s="291"/>
      <c r="EA38" s="291"/>
      <c r="EB38" s="291"/>
      <c r="EC38" s="291"/>
      <c r="ED38" s="291"/>
      <c r="EE38" s="245"/>
    </row>
    <row r="39" spans="1:135" x14ac:dyDescent="0.25">
      <c r="A39" s="245"/>
      <c r="B39" s="281">
        <v>5868</v>
      </c>
      <c r="C39" s="30" t="s">
        <v>605</v>
      </c>
      <c r="D39" s="283">
        <f>insumos!$I$243*12</f>
        <v>0.22752</v>
      </c>
      <c r="E39" s="300" t="s">
        <v>568</v>
      </c>
      <c r="F39" s="291"/>
      <c r="G39" s="275" t="s">
        <v>492</v>
      </c>
      <c r="H39" s="276" t="s">
        <v>495</v>
      </c>
      <c r="I39" s="275" t="s">
        <v>467</v>
      </c>
      <c r="J39" s="269"/>
      <c r="K39" s="245"/>
      <c r="L39" s="275" t="s">
        <v>492</v>
      </c>
      <c r="M39" s="277" t="s">
        <v>495</v>
      </c>
      <c r="N39" s="275" t="s">
        <v>467</v>
      </c>
      <c r="O39" s="245"/>
      <c r="P39" s="245"/>
      <c r="Q39" s="278"/>
      <c r="R39" s="279" t="s">
        <v>134</v>
      </c>
      <c r="S39" s="278"/>
      <c r="T39" s="245"/>
      <c r="U39" s="245"/>
      <c r="V39" s="281">
        <v>6184</v>
      </c>
      <c r="W39" s="1" t="s">
        <v>502</v>
      </c>
      <c r="X39" s="283">
        <f>insumos!$H$215</f>
        <v>0.6</v>
      </c>
      <c r="Y39" s="245"/>
      <c r="Z39" s="245"/>
      <c r="AA39" s="275" t="s">
        <v>492</v>
      </c>
      <c r="AB39" s="276" t="s">
        <v>495</v>
      </c>
      <c r="AC39" s="275" t="s">
        <v>467</v>
      </c>
      <c r="AD39" s="245"/>
      <c r="AE39" s="245"/>
      <c r="AF39" s="281"/>
      <c r="AG39" s="282"/>
      <c r="AH39" s="283"/>
      <c r="AI39" s="269"/>
      <c r="AJ39" s="245"/>
      <c r="AK39" s="278"/>
      <c r="AL39" s="279" t="s">
        <v>134</v>
      </c>
      <c r="AM39" s="278"/>
      <c r="AN39" s="245"/>
      <c r="AO39" s="245"/>
      <c r="AP39" s="297"/>
      <c r="AQ39" s="298" t="s">
        <v>5</v>
      </c>
      <c r="AR39" s="299">
        <f>SUM(AR27:AR38)</f>
        <v>6.07263392279581</v>
      </c>
      <c r="AS39" s="300"/>
      <c r="AT39" s="245"/>
      <c r="AU39" s="245"/>
      <c r="AV39" s="245"/>
      <c r="AW39" s="245"/>
      <c r="AX39" s="245"/>
      <c r="AY39" s="245"/>
      <c r="AZ39" s="297"/>
      <c r="BA39" s="298" t="s">
        <v>5</v>
      </c>
      <c r="BB39" s="299">
        <f>SUM(BB27:BB38)</f>
        <v>4.643431543733473</v>
      </c>
      <c r="BC39" s="300"/>
      <c r="BD39" s="291"/>
      <c r="BE39" s="297"/>
      <c r="BF39" s="298" t="s">
        <v>5</v>
      </c>
      <c r="BG39" s="299">
        <f>SUM(BG27:BG38)</f>
        <v>4.700528598034435</v>
      </c>
      <c r="BH39" s="300"/>
      <c r="BI39" s="245"/>
      <c r="BJ39" s="245"/>
      <c r="BK39" s="245"/>
      <c r="BL39" s="245"/>
      <c r="BM39" s="245"/>
      <c r="BN39" s="245"/>
      <c r="BO39" s="297"/>
      <c r="BP39" s="298" t="s">
        <v>5</v>
      </c>
      <c r="BQ39" s="299">
        <f>SUM(BQ27:BQ38)</f>
        <v>3.266323415966028</v>
      </c>
      <c r="BR39" s="300"/>
      <c r="BS39" s="291"/>
      <c r="BT39" s="297"/>
      <c r="BU39" s="298" t="s">
        <v>5</v>
      </c>
      <c r="BV39" s="299">
        <f>SUM(BV27:BV38)</f>
        <v>3.7917766463342115</v>
      </c>
      <c r="BW39" s="300"/>
      <c r="BX39" s="291"/>
      <c r="BY39" s="297"/>
      <c r="BZ39" s="298" t="s">
        <v>5</v>
      </c>
      <c r="CA39" s="299">
        <f>SUM(CA27:CA38)</f>
        <v>5.073778892279894</v>
      </c>
      <c r="CC39" s="245"/>
      <c r="CD39" s="281"/>
      <c r="CE39" s="282" t="s">
        <v>587</v>
      </c>
      <c r="CF39" s="304">
        <f>286.51/22</f>
        <v>13.023181818181818</v>
      </c>
      <c r="CG39" s="269"/>
      <c r="CH39" s="245"/>
      <c r="CI39" s="297"/>
      <c r="CJ39" s="298" t="s">
        <v>5</v>
      </c>
      <c r="CK39" s="299">
        <f>SUM(CK27:CK38)</f>
        <v>6.633052206150585</v>
      </c>
      <c r="CM39" s="245"/>
      <c r="CN39" s="281"/>
      <c r="CO39" s="282" t="s">
        <v>587</v>
      </c>
      <c r="CP39" s="304">
        <f>1990.15/268</f>
        <v>7.425932835820896</v>
      </c>
      <c r="CQ39" s="245"/>
      <c r="CR39" s="245"/>
      <c r="CS39" s="311"/>
      <c r="CT39" s="307" t="s">
        <v>604</v>
      </c>
      <c r="CU39" s="308">
        <f>CU38*1.03</f>
        <v>0.3170037753747712</v>
      </c>
      <c r="CV39" s="245"/>
      <c r="CW39" s="245"/>
      <c r="CX39" s="245"/>
      <c r="CY39" s="245"/>
      <c r="CZ39" s="245"/>
      <c r="DA39" s="245"/>
      <c r="DB39" s="245"/>
      <c r="DC39" s="281"/>
      <c r="DD39" s="310" t="s">
        <v>599</v>
      </c>
      <c r="DE39" s="308">
        <f>+DE37/DE38</f>
        <v>0.32799903429479194</v>
      </c>
      <c r="DF39" s="245"/>
      <c r="DG39" s="245"/>
      <c r="DH39" s="291"/>
      <c r="DI39" s="291"/>
      <c r="DJ39" s="291"/>
      <c r="DK39" s="291"/>
      <c r="DL39" s="245"/>
      <c r="DM39" s="297"/>
      <c r="DN39" s="298" t="s">
        <v>5</v>
      </c>
      <c r="DO39" s="299">
        <f>SUM(DO27:DO38)</f>
        <v>3.792399936275115</v>
      </c>
      <c r="DP39" s="300"/>
      <c r="DQ39" s="291"/>
      <c r="DR39" s="291"/>
      <c r="DS39" s="291"/>
      <c r="DT39" s="291"/>
      <c r="DU39" s="291"/>
      <c r="DV39" s="291"/>
      <c r="DW39" s="291"/>
      <c r="DX39" s="291"/>
      <c r="DY39" s="291"/>
      <c r="DZ39" s="291"/>
      <c r="EA39" s="291"/>
      <c r="EB39" s="291"/>
      <c r="EC39" s="245"/>
      <c r="ED39" s="245"/>
      <c r="EE39" s="245"/>
    </row>
    <row r="40" spans="1:135" x14ac:dyDescent="0.25">
      <c r="A40" s="245"/>
      <c r="B40" s="297"/>
      <c r="C40" s="298" t="s">
        <v>5</v>
      </c>
      <c r="D40" s="299">
        <f>SUM(D27:D39)</f>
        <v>4.9774316029336045</v>
      </c>
      <c r="E40" s="269"/>
      <c r="F40" s="291"/>
      <c r="G40" s="278"/>
      <c r="H40" s="279" t="s">
        <v>134</v>
      </c>
      <c r="I40" s="278"/>
      <c r="J40" s="269"/>
      <c r="K40" s="245"/>
      <c r="L40" s="278"/>
      <c r="M40" s="280" t="s">
        <v>134</v>
      </c>
      <c r="N40" s="278"/>
      <c r="O40" s="245"/>
      <c r="P40" s="245"/>
      <c r="Q40" s="281">
        <v>6184</v>
      </c>
      <c r="R40" s="1" t="s">
        <v>502</v>
      </c>
      <c r="S40" s="283">
        <f>insumos!$H$215</f>
        <v>0.6</v>
      </c>
      <c r="T40" s="245"/>
      <c r="U40" s="245"/>
      <c r="V40" s="281">
        <v>5523</v>
      </c>
      <c r="W40" s="282" t="s">
        <v>508</v>
      </c>
      <c r="X40" s="283">
        <f>+insumos!$H$285</f>
        <v>1.1829611337771098</v>
      </c>
      <c r="Y40" s="245"/>
      <c r="Z40" s="245"/>
      <c r="AA40" s="278"/>
      <c r="AB40" s="279" t="s">
        <v>134</v>
      </c>
      <c r="AC40" s="278"/>
      <c r="AD40" s="245"/>
      <c r="AE40" s="245"/>
      <c r="AF40" s="281"/>
      <c r="AG40" s="282"/>
      <c r="AH40" s="283"/>
      <c r="AI40" s="269"/>
      <c r="AJ40" s="245"/>
      <c r="AK40" s="281">
        <v>3741</v>
      </c>
      <c r="AL40" s="282" t="s">
        <v>500</v>
      </c>
      <c r="AM40" s="283">
        <f>insumos!$G$213</f>
        <v>0.8355871886120997</v>
      </c>
      <c r="AN40" s="245"/>
      <c r="AO40" s="245"/>
      <c r="AP40" s="281"/>
      <c r="AQ40" s="282" t="s">
        <v>587</v>
      </c>
      <c r="AR40" s="281">
        <v>8.8</v>
      </c>
      <c r="AS40" s="269"/>
      <c r="AT40" s="245"/>
      <c r="AU40" s="245"/>
      <c r="AV40" s="245"/>
      <c r="AW40" s="245"/>
      <c r="AX40" s="245"/>
      <c r="AY40" s="245"/>
      <c r="AZ40" s="281"/>
      <c r="BA40" s="282" t="s">
        <v>587</v>
      </c>
      <c r="BB40" s="304">
        <f>1024.81/146</f>
        <v>7.019246575342465</v>
      </c>
      <c r="BC40" s="269"/>
      <c r="BD40" s="245"/>
      <c r="BE40" s="281"/>
      <c r="BF40" s="282" t="s">
        <v>587</v>
      </c>
      <c r="BG40" s="304">
        <f>4072.11/406</f>
        <v>10.029827586206897</v>
      </c>
      <c r="BH40" s="269"/>
      <c r="BI40" s="245"/>
      <c r="BJ40" s="245"/>
      <c r="BK40" s="245"/>
      <c r="BL40" s="245"/>
      <c r="BM40" s="245"/>
      <c r="BN40" s="245"/>
      <c r="BO40" s="281"/>
      <c r="BP40" s="282" t="s">
        <v>587</v>
      </c>
      <c r="BQ40" s="304">
        <f>1093.52/90</f>
        <v>12.150222222222222</v>
      </c>
      <c r="BR40" s="269"/>
      <c r="BS40" s="245"/>
      <c r="BT40" s="281"/>
      <c r="BU40" s="282" t="s">
        <v>587</v>
      </c>
      <c r="BV40" s="304">
        <f>24984.64/2175</f>
        <v>11.4871908045977</v>
      </c>
      <c r="BW40" s="269"/>
      <c r="BX40" s="245"/>
      <c r="BY40" s="281"/>
      <c r="BZ40" s="282" t="s">
        <v>587</v>
      </c>
      <c r="CA40" s="304">
        <f>494.96/51</f>
        <v>9.705098039215686</v>
      </c>
      <c r="CB40" s="245"/>
      <c r="CC40" s="245"/>
      <c r="CD40" s="281"/>
      <c r="CE40" s="307" t="s">
        <v>599</v>
      </c>
      <c r="CF40" s="308">
        <f>+CF38/CF39</f>
        <v>0.30136921644731574</v>
      </c>
      <c r="CG40" s="269"/>
      <c r="CH40" s="245"/>
      <c r="CI40" s="281"/>
      <c r="CJ40" s="282" t="s">
        <v>587</v>
      </c>
      <c r="CK40" s="304">
        <f>904.53/182</f>
        <v>4.969945054945055</v>
      </c>
      <c r="CL40" s="245"/>
      <c r="CM40" s="245"/>
      <c r="CN40" s="281"/>
      <c r="CO40" s="307" t="s">
        <v>599</v>
      </c>
      <c r="CP40" s="308">
        <f>+CP38/CP39</f>
        <v>0.6832513846348324</v>
      </c>
      <c r="CQ40" s="245"/>
      <c r="CR40" s="245"/>
      <c r="CS40" s="245"/>
      <c r="CT40" s="245"/>
      <c r="CU40" s="245"/>
      <c r="CV40" s="245"/>
      <c r="CW40" s="245"/>
      <c r="CX40" s="245"/>
      <c r="CY40" s="245"/>
      <c r="CZ40" s="245"/>
      <c r="DA40" s="245"/>
      <c r="DB40" s="245"/>
      <c r="DC40" s="311"/>
      <c r="DD40" s="310" t="s">
        <v>604</v>
      </c>
      <c r="DE40" s="308">
        <f>DE39*1.03</f>
        <v>0.3378390053236357</v>
      </c>
      <c r="DF40" s="245"/>
      <c r="DG40" s="245"/>
      <c r="DH40" s="263">
        <v>5516560</v>
      </c>
      <c r="DI40" s="264" t="s">
        <v>677</v>
      </c>
      <c r="DJ40" s="267"/>
      <c r="DK40" s="245"/>
      <c r="DL40" s="245"/>
      <c r="DM40" s="281"/>
      <c r="DN40" s="282" t="s">
        <v>587</v>
      </c>
      <c r="DO40" s="304">
        <v>4.85</v>
      </c>
      <c r="DP40" s="269"/>
      <c r="DQ40" s="245"/>
      <c r="DR40" s="245"/>
      <c r="DS40" s="245"/>
      <c r="DT40" s="245"/>
      <c r="DU40" s="245"/>
      <c r="DV40" s="245"/>
      <c r="DW40" s="291"/>
      <c r="DX40" s="291"/>
      <c r="DY40" s="291"/>
      <c r="DZ40" s="245"/>
      <c r="EA40" s="245"/>
      <c r="EB40" s="245"/>
      <c r="EC40" s="245"/>
      <c r="ED40" s="245"/>
      <c r="EE40" s="245"/>
    </row>
    <row r="41" spans="1:135" x14ac:dyDescent="0.25">
      <c r="A41" s="245"/>
      <c r="B41" s="281"/>
      <c r="C41" s="282" t="s">
        <v>587</v>
      </c>
      <c r="D41" s="281">
        <v>11.3</v>
      </c>
      <c r="E41" s="269"/>
      <c r="F41" s="291"/>
      <c r="G41" s="281">
        <v>5524</v>
      </c>
      <c r="H41" s="1" t="s">
        <v>501</v>
      </c>
      <c r="I41" s="283">
        <f>insumos!$H$217</f>
        <v>0.8950000000000001</v>
      </c>
      <c r="J41" s="284"/>
      <c r="K41" s="285"/>
      <c r="L41" s="281">
        <v>3741</v>
      </c>
      <c r="M41" s="282" t="s">
        <v>500</v>
      </c>
      <c r="N41" s="283">
        <f>insumos!$G$213</f>
        <v>0.8355871886120997</v>
      </c>
      <c r="O41" s="285"/>
      <c r="P41" s="245"/>
      <c r="Q41" s="281">
        <v>2037</v>
      </c>
      <c r="R41" s="282" t="s">
        <v>511</v>
      </c>
      <c r="S41" s="283">
        <f>+insumos!$H$268</f>
        <v>0.65</v>
      </c>
      <c r="T41" s="245"/>
      <c r="U41" s="245"/>
      <c r="V41" s="281">
        <v>4542</v>
      </c>
      <c r="W41" s="282" t="s">
        <v>527</v>
      </c>
      <c r="X41" s="283">
        <f>insumos!$I$35</f>
        <v>0.022058823529411763</v>
      </c>
      <c r="Y41" s="245"/>
      <c r="Z41" s="245"/>
      <c r="AA41" s="281">
        <v>6184</v>
      </c>
      <c r="AB41" s="1" t="s">
        <v>502</v>
      </c>
      <c r="AC41" s="283">
        <f>insumos!$H$215</f>
        <v>0.6</v>
      </c>
      <c r="AD41" s="245"/>
      <c r="AE41" s="245"/>
      <c r="AF41" s="297"/>
      <c r="AG41" s="298" t="s">
        <v>5</v>
      </c>
      <c r="AH41" s="299">
        <f>SUM(AH28:AH36)</f>
        <v>6.530033937073782</v>
      </c>
      <c r="AI41" s="269"/>
      <c r="AJ41" s="245"/>
      <c r="AK41" s="281">
        <v>3759</v>
      </c>
      <c r="AL41" s="1" t="s">
        <v>507</v>
      </c>
      <c r="AM41" s="283">
        <f>+insumos!$G$284</f>
        <v>1.1352416613292604</v>
      </c>
      <c r="AN41" s="245"/>
      <c r="AO41" s="245"/>
      <c r="AP41" s="281"/>
      <c r="AQ41" s="307" t="s">
        <v>599</v>
      </c>
      <c r="AR41" s="308">
        <f>+AR39/AR40</f>
        <v>0.690072036681342</v>
      </c>
      <c r="AS41" s="269"/>
      <c r="AT41" s="245"/>
      <c r="AU41" s="245"/>
      <c r="AV41" s="245"/>
      <c r="AW41" s="245"/>
      <c r="AX41" s="245"/>
      <c r="AY41" s="245"/>
      <c r="AZ41" s="281"/>
      <c r="BA41" s="307" t="s">
        <v>599</v>
      </c>
      <c r="BB41" s="308">
        <f>+BB39/BB40</f>
        <v>0.6615284837043814</v>
      </c>
      <c r="BC41" s="269"/>
      <c r="BD41" s="245"/>
      <c r="BE41" s="281"/>
      <c r="BF41" s="307" t="s">
        <v>599</v>
      </c>
      <c r="BG41" s="308">
        <f>+BG39/BG40</f>
        <v>0.4686549751362268</v>
      </c>
      <c r="BH41" s="269"/>
      <c r="BI41" s="245"/>
      <c r="BJ41" s="245"/>
      <c r="BK41" s="245"/>
      <c r="BL41" s="245"/>
      <c r="BM41" s="245"/>
      <c r="BN41" s="245"/>
      <c r="BO41" s="281"/>
      <c r="BP41" s="307" t="s">
        <v>599</v>
      </c>
      <c r="BQ41" s="308">
        <f>+BQ39/BQ40</f>
        <v>0.26882828611908566</v>
      </c>
      <c r="BR41" s="269"/>
      <c r="BS41" s="245"/>
      <c r="BT41" s="281"/>
      <c r="BU41" s="307" t="s">
        <v>599</v>
      </c>
      <c r="BV41" s="308">
        <f>+BV39/BV40</f>
        <v>0.33008737391360893</v>
      </c>
      <c r="BW41" s="269"/>
      <c r="BX41" s="245"/>
      <c r="BY41" s="281"/>
      <c r="BZ41" s="307" t="s">
        <v>599</v>
      </c>
      <c r="CA41" s="308">
        <f>+CA39/CA40</f>
        <v>0.5227952228589676</v>
      </c>
      <c r="CB41" s="269"/>
      <c r="CC41" s="245"/>
      <c r="CD41" s="311"/>
      <c r="CE41" s="307" t="s">
        <v>604</v>
      </c>
      <c r="CF41" s="308">
        <f>CF40*1.03</f>
        <v>0.3104102929407352</v>
      </c>
      <c r="CG41" s="269"/>
      <c r="CH41" s="245"/>
      <c r="CI41" s="281"/>
      <c r="CJ41" s="307" t="s">
        <v>599</v>
      </c>
      <c r="CK41" s="308">
        <f>+CK39/CK40</f>
        <v>1.3346329049555088</v>
      </c>
      <c r="CL41" s="269"/>
      <c r="CM41" s="245"/>
      <c r="CN41" s="311"/>
      <c r="CO41" s="307" t="s">
        <v>604</v>
      </c>
      <c r="CP41" s="308">
        <f>CP40*1.03</f>
        <v>0.7037489261738774</v>
      </c>
      <c r="CR41" s="245"/>
      <c r="CS41" s="263">
        <v>6173916</v>
      </c>
      <c r="CT41" s="264" t="s">
        <v>678</v>
      </c>
      <c r="CU41" s="267"/>
      <c r="CV41" s="269"/>
      <c r="CW41" s="245"/>
      <c r="CX41" s="245"/>
      <c r="CY41" s="245"/>
      <c r="CZ41" s="245"/>
      <c r="DA41" s="245"/>
      <c r="DB41" s="245"/>
      <c r="DC41" s="245"/>
      <c r="DD41" s="245"/>
      <c r="DE41" s="245"/>
      <c r="DF41" s="245"/>
      <c r="DG41" s="245"/>
      <c r="DH41" s="275" t="s">
        <v>492</v>
      </c>
      <c r="DI41" s="276" t="s">
        <v>495</v>
      </c>
      <c r="DJ41" s="275" t="s">
        <v>467</v>
      </c>
      <c r="DK41" s="245"/>
      <c r="DL41" s="245"/>
      <c r="DM41" s="281"/>
      <c r="DN41" s="307" t="s">
        <v>599</v>
      </c>
      <c r="DO41" s="308">
        <f>+DO39/DO40</f>
        <v>0.7819381311907454</v>
      </c>
      <c r="DP41" s="269"/>
      <c r="DQ41" s="245"/>
      <c r="DR41" s="245"/>
      <c r="DS41" s="245"/>
      <c r="DT41" s="245"/>
      <c r="DU41" s="245"/>
      <c r="DV41" s="245"/>
      <c r="DW41" s="291"/>
      <c r="DX41" s="291"/>
      <c r="DY41" s="291"/>
      <c r="DZ41" s="245"/>
      <c r="EA41" s="245"/>
      <c r="EB41" s="245"/>
      <c r="EC41" s="245"/>
      <c r="ED41" s="245"/>
      <c r="EE41" s="245"/>
    </row>
    <row r="42" spans="1:135" x14ac:dyDescent="0.25">
      <c r="A42" s="245"/>
      <c r="B42" s="281"/>
      <c r="C42" s="307" t="s">
        <v>599</v>
      </c>
      <c r="D42" s="308">
        <f>+D40/D41</f>
        <v>0.4404806728259827</v>
      </c>
      <c r="E42" s="269"/>
      <c r="F42" s="245"/>
      <c r="G42" s="281">
        <v>5523</v>
      </c>
      <c r="H42" s="282" t="s">
        <v>508</v>
      </c>
      <c r="I42" s="283">
        <f>+insumos!$H$285</f>
        <v>1.1829611337771098</v>
      </c>
      <c r="J42" s="284"/>
      <c r="K42" s="285"/>
      <c r="L42" s="26" t="s">
        <v>509</v>
      </c>
      <c r="M42" s="30" t="s">
        <v>510</v>
      </c>
      <c r="N42" s="283">
        <f>+insumos!$H$267</f>
        <v>1.2</v>
      </c>
      <c r="O42" s="285"/>
      <c r="P42" s="245"/>
      <c r="Q42" s="281">
        <v>4542</v>
      </c>
      <c r="R42" s="282" t="s">
        <v>527</v>
      </c>
      <c r="S42" s="283">
        <f>insumos!$I$35</f>
        <v>0.022058823529411763</v>
      </c>
      <c r="T42" s="245"/>
      <c r="U42" s="245"/>
      <c r="V42" s="26">
        <v>3817</v>
      </c>
      <c r="W42" s="243" t="s">
        <v>524</v>
      </c>
      <c r="X42" s="289">
        <f>insumos!$I$103*1.8</f>
        <v>0.02088</v>
      </c>
      <c r="Y42" s="285" t="s">
        <v>538</v>
      </c>
      <c r="Z42" s="245"/>
      <c r="AA42" s="281">
        <v>2037</v>
      </c>
      <c r="AB42" s="282" t="s">
        <v>511</v>
      </c>
      <c r="AC42" s="283">
        <f>+insumos!$H$268</f>
        <v>0.65</v>
      </c>
      <c r="AD42" s="245"/>
      <c r="AE42" s="245"/>
      <c r="AF42" s="281"/>
      <c r="AG42" s="282" t="s">
        <v>587</v>
      </c>
      <c r="AH42" s="281">
        <v>14.4</v>
      </c>
      <c r="AI42" s="245"/>
      <c r="AJ42" s="245"/>
      <c r="AK42" s="281">
        <v>4653</v>
      </c>
      <c r="AL42" s="282" t="s">
        <v>525</v>
      </c>
      <c r="AM42" s="283">
        <f>insumos!$H$254*2</f>
        <v>0.37281192211465247</v>
      </c>
      <c r="AN42" s="1" t="s">
        <v>547</v>
      </c>
      <c r="AO42" s="245"/>
      <c r="AP42" s="311"/>
      <c r="AQ42" s="307" t="s">
        <v>604</v>
      </c>
      <c r="AR42" s="308">
        <f>AR41*1.03</f>
        <v>0.7107741977817823</v>
      </c>
      <c r="AS42" s="269"/>
      <c r="AT42" s="245"/>
      <c r="AU42" s="245"/>
      <c r="AV42" s="245"/>
      <c r="AW42" s="245"/>
      <c r="AX42" s="245"/>
      <c r="AY42" s="245"/>
      <c r="AZ42" s="311"/>
      <c r="BA42" s="307" t="s">
        <v>604</v>
      </c>
      <c r="BB42" s="308">
        <f>BB41*1.03</f>
        <v>0.6813743382155129</v>
      </c>
      <c r="BC42" s="269"/>
      <c r="BD42" s="245"/>
      <c r="BE42" s="311"/>
      <c r="BF42" s="307" t="s">
        <v>604</v>
      </c>
      <c r="BG42" s="308">
        <f>BG41*1.03</f>
        <v>0.4827146243903136</v>
      </c>
      <c r="BH42" s="269"/>
      <c r="BI42" s="245"/>
      <c r="BJ42" s="245"/>
      <c r="BK42" s="245"/>
      <c r="BL42" s="245"/>
      <c r="BM42" s="245"/>
      <c r="BN42" s="245"/>
      <c r="BO42" s="311"/>
      <c r="BP42" s="307" t="s">
        <v>604</v>
      </c>
      <c r="BQ42" s="308">
        <f>BQ41*1.03</f>
        <v>0.27689313470265825</v>
      </c>
      <c r="BR42" s="269"/>
      <c r="BS42" s="245"/>
      <c r="BT42" s="311"/>
      <c r="BU42" s="307" t="s">
        <v>604</v>
      </c>
      <c r="BV42" s="308">
        <f>BV41*1.03</f>
        <v>0.3399899951310172</v>
      </c>
      <c r="BW42" s="269"/>
      <c r="BX42" s="245"/>
      <c r="BY42" s="311"/>
      <c r="BZ42" s="307" t="s">
        <v>604</v>
      </c>
      <c r="CA42" s="308">
        <f>CA41*1.03</f>
        <v>0.5384790795447366</v>
      </c>
      <c r="CB42" s="269"/>
      <c r="CC42" s="245"/>
      <c r="CD42" s="245"/>
      <c r="CE42" s="245"/>
      <c r="CF42" s="245"/>
      <c r="CG42" s="245"/>
      <c r="CH42" s="245"/>
      <c r="CI42" s="311"/>
      <c r="CJ42" s="307" t="s">
        <v>604</v>
      </c>
      <c r="CK42" s="308">
        <f>CK41*1.03</f>
        <v>1.374671892104174</v>
      </c>
      <c r="CL42" s="269"/>
      <c r="CM42" s="245"/>
      <c r="CN42" s="245"/>
      <c r="CO42" s="245"/>
      <c r="CP42" s="245"/>
      <c r="CQ42" s="245"/>
      <c r="CR42" s="245"/>
      <c r="CS42" s="275" t="s">
        <v>492</v>
      </c>
      <c r="CT42" s="276" t="s">
        <v>495</v>
      </c>
      <c r="CU42" s="275" t="s">
        <v>467</v>
      </c>
      <c r="CV42" s="269"/>
      <c r="CW42" s="245"/>
      <c r="CX42" s="245"/>
      <c r="CY42" s="245"/>
      <c r="CZ42" s="245"/>
      <c r="DA42" s="245"/>
      <c r="DB42" s="245"/>
      <c r="DC42" s="245"/>
      <c r="DD42" s="245"/>
      <c r="DE42" s="245"/>
      <c r="DF42" s="245"/>
      <c r="DG42" s="245"/>
      <c r="DH42" s="278"/>
      <c r="DI42" s="279" t="s">
        <v>134</v>
      </c>
      <c r="DJ42" s="278"/>
      <c r="DK42" s="245"/>
      <c r="DL42" s="245"/>
      <c r="DM42" s="311"/>
      <c r="DN42" s="307" t="s">
        <v>604</v>
      </c>
      <c r="DO42" s="308">
        <f>DO41*1.03</f>
        <v>0.8053962751264678</v>
      </c>
      <c r="DP42" s="269"/>
      <c r="DQ42" s="245"/>
      <c r="DR42" s="245"/>
      <c r="DS42" s="245"/>
      <c r="DT42" s="245"/>
      <c r="DU42" s="245"/>
      <c r="DV42" s="245"/>
      <c r="DW42" s="245"/>
      <c r="DX42" s="245"/>
      <c r="DY42" s="245"/>
      <c r="DZ42" s="245"/>
      <c r="EA42" s="245"/>
      <c r="EB42" s="245"/>
      <c r="EC42" s="245"/>
      <c r="ED42" s="245"/>
      <c r="EE42" s="245"/>
    </row>
    <row r="43" spans="1:135" x14ac:dyDescent="0.25">
      <c r="A43" s="245"/>
      <c r="B43" s="311"/>
      <c r="C43" s="307" t="s">
        <v>604</v>
      </c>
      <c r="D43" s="308">
        <f>D42*1.03</f>
        <v>0.45369509301076216</v>
      </c>
      <c r="E43" s="269"/>
      <c r="F43" s="245"/>
      <c r="G43" s="281">
        <v>4542</v>
      </c>
      <c r="H43" s="282" t="s">
        <v>527</v>
      </c>
      <c r="I43" s="283">
        <f>insumos!$I$35</f>
        <v>0.022058823529411763</v>
      </c>
      <c r="J43" s="284"/>
      <c r="K43" s="285"/>
      <c r="L43" s="281">
        <v>4541</v>
      </c>
      <c r="M43" s="282" t="s">
        <v>528</v>
      </c>
      <c r="N43" s="283">
        <f>insumos!$H$43</f>
        <v>0.022058823529411766</v>
      </c>
      <c r="O43" s="285"/>
      <c r="P43" s="245"/>
      <c r="Q43" s="26">
        <v>3817</v>
      </c>
      <c r="R43" s="243" t="s">
        <v>524</v>
      </c>
      <c r="S43" s="289">
        <f>insumos!$I$103*1.8</f>
        <v>0.02088</v>
      </c>
      <c r="T43" s="285" t="s">
        <v>538</v>
      </c>
      <c r="U43" s="245"/>
      <c r="V43" s="26">
        <v>2173</v>
      </c>
      <c r="W43" s="243" t="s">
        <v>536</v>
      </c>
      <c r="X43" s="289">
        <f>+insumos!$H$149*2</f>
        <v>0.0349502662966019</v>
      </c>
      <c r="Y43" s="1" t="s">
        <v>547</v>
      </c>
      <c r="Z43" s="245"/>
      <c r="AA43" s="281">
        <v>4542</v>
      </c>
      <c r="AB43" s="282" t="s">
        <v>527</v>
      </c>
      <c r="AC43" s="283">
        <f>insumos!$I$35</f>
        <v>0.022058823529411763</v>
      </c>
      <c r="AD43" s="245"/>
      <c r="AE43" s="245"/>
      <c r="AF43" s="281"/>
      <c r="AG43" s="307" t="s">
        <v>599</v>
      </c>
      <c r="AH43" s="308">
        <f>+AH41/AH42</f>
        <v>0.45347457896345705</v>
      </c>
      <c r="AI43" s="245"/>
      <c r="AJ43" s="245"/>
      <c r="AK43" s="26">
        <v>3817</v>
      </c>
      <c r="AL43" s="243" t="s">
        <v>524</v>
      </c>
      <c r="AM43" s="289">
        <f>insumos!$I$103*1.8</f>
        <v>0.02088</v>
      </c>
      <c r="AN43" s="285" t="s">
        <v>538</v>
      </c>
      <c r="AO43" s="245"/>
      <c r="AP43" s="245"/>
      <c r="AQ43" s="245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/>
      <c r="BE43" s="245"/>
      <c r="BF43" s="245"/>
      <c r="BG43" s="245"/>
      <c r="BH43" s="245"/>
      <c r="BI43" s="245"/>
      <c r="BJ43" s="245"/>
      <c r="BK43" s="245"/>
      <c r="BL43" s="245"/>
      <c r="BM43" s="245"/>
      <c r="BN43" s="245"/>
      <c r="BO43" s="245"/>
      <c r="BP43" s="245"/>
      <c r="BQ43" s="245"/>
      <c r="BR43" s="245"/>
      <c r="BS43" s="245"/>
      <c r="BT43" s="245"/>
      <c r="BU43" s="245"/>
      <c r="BV43" s="245"/>
      <c r="BW43" s="245"/>
      <c r="BX43" s="245"/>
      <c r="BY43" s="245"/>
      <c r="BZ43" s="245"/>
      <c r="CA43" s="245"/>
      <c r="CB43" s="245"/>
      <c r="CC43" s="245"/>
      <c r="CD43" s="259">
        <v>4545960</v>
      </c>
      <c r="CE43" s="260" t="s">
        <v>679</v>
      </c>
      <c r="CF43" s="259"/>
      <c r="CG43" s="272"/>
      <c r="CH43" s="266"/>
      <c r="CI43" s="266"/>
      <c r="CJ43" s="266"/>
      <c r="CK43" s="266"/>
      <c r="CL43" s="266"/>
      <c r="CM43" s="266"/>
      <c r="CN43" s="263">
        <v>4858560</v>
      </c>
      <c r="CO43" s="264" t="s">
        <v>680</v>
      </c>
      <c r="CP43" s="267"/>
      <c r="CQ43" s="245"/>
      <c r="CR43" s="266"/>
      <c r="CS43" s="278"/>
      <c r="CT43" s="279" t="s">
        <v>134</v>
      </c>
      <c r="CU43" s="278"/>
      <c r="CV43" s="269"/>
      <c r="CW43" s="266"/>
      <c r="CX43" s="266"/>
      <c r="CY43" s="266"/>
      <c r="CZ43" s="266"/>
      <c r="DA43" s="266"/>
      <c r="DB43" s="266"/>
      <c r="DC43" s="266"/>
      <c r="DD43" s="266"/>
      <c r="DE43" s="266"/>
      <c r="DF43" s="266"/>
      <c r="DG43" s="266"/>
      <c r="DH43" s="281">
        <v>3741</v>
      </c>
      <c r="DI43" s="282" t="s">
        <v>500</v>
      </c>
      <c r="DJ43" s="283">
        <f>insumos!$G$213</f>
        <v>0.8355871886120997</v>
      </c>
      <c r="DK43" s="245"/>
      <c r="DL43" s="266"/>
      <c r="DM43" s="266"/>
      <c r="DN43" s="266"/>
      <c r="DO43" s="266"/>
      <c r="DP43" s="266"/>
      <c r="DQ43" s="266"/>
      <c r="DR43" s="266"/>
      <c r="DS43" s="266"/>
      <c r="DT43" s="266"/>
      <c r="DU43" s="266"/>
      <c r="DV43" s="266"/>
      <c r="DW43" s="245"/>
      <c r="DX43" s="245"/>
      <c r="DY43" s="245"/>
      <c r="DZ43" s="266"/>
      <c r="EA43" s="266"/>
      <c r="EB43" s="266"/>
      <c r="EC43" s="266"/>
      <c r="ED43" s="245"/>
      <c r="EE43" s="245"/>
    </row>
    <row r="44" spans="1:135" x14ac:dyDescent="0.25">
      <c r="A44" s="245"/>
      <c r="F44" s="245"/>
      <c r="G44" s="26">
        <v>3817</v>
      </c>
      <c r="H44" s="243" t="s">
        <v>524</v>
      </c>
      <c r="I44" s="289">
        <f>insumos!$I$103*1.8</f>
        <v>0.02088</v>
      </c>
      <c r="J44" s="290" t="s">
        <v>537</v>
      </c>
      <c r="K44" s="290"/>
      <c r="L44" s="26">
        <v>3817</v>
      </c>
      <c r="M44" s="288" t="s">
        <v>524</v>
      </c>
      <c r="N44" s="289">
        <f>insumos!$I$103*1.8</f>
        <v>0.02088</v>
      </c>
      <c r="O44" s="290" t="s">
        <v>537</v>
      </c>
      <c r="P44" s="245"/>
      <c r="Q44" s="26">
        <v>2173</v>
      </c>
      <c r="R44" s="243" t="s">
        <v>536</v>
      </c>
      <c r="S44" s="289">
        <f>+insumos!$H$149*2</f>
        <v>0.0349502662966019</v>
      </c>
      <c r="T44" s="1" t="s">
        <v>547</v>
      </c>
      <c r="U44" s="245"/>
      <c r="V44" s="281">
        <v>3636</v>
      </c>
      <c r="W44" s="282" t="s">
        <v>550</v>
      </c>
      <c r="X44" s="283">
        <f>+insumos!$H$121</f>
        <v>0.0445</v>
      </c>
      <c r="Y44" s="245"/>
      <c r="Z44" s="245"/>
      <c r="AA44" s="26">
        <v>3817</v>
      </c>
      <c r="AB44" s="243" t="s">
        <v>524</v>
      </c>
      <c r="AC44" s="289">
        <f>insumos!$I$103*1.8</f>
        <v>0.02088</v>
      </c>
      <c r="AD44" s="285" t="s">
        <v>538</v>
      </c>
      <c r="AE44" s="245"/>
      <c r="AF44" s="311"/>
      <c r="AG44" s="307" t="s">
        <v>604</v>
      </c>
      <c r="AH44" s="308">
        <f>AH43*1.03</f>
        <v>0.46707881633236076</v>
      </c>
      <c r="AI44" s="245"/>
      <c r="AJ44" s="245"/>
      <c r="AK44" s="281">
        <v>4541</v>
      </c>
      <c r="AL44" s="282" t="s">
        <v>528</v>
      </c>
      <c r="AM44" s="283">
        <f>insumos!$H$43</f>
        <v>0.022058823529411766</v>
      </c>
      <c r="AN44" s="285"/>
      <c r="AO44" s="245"/>
      <c r="AP44" s="263">
        <v>3673760</v>
      </c>
      <c r="AQ44" s="264" t="s">
        <v>681</v>
      </c>
      <c r="AR44" s="267"/>
      <c r="AS44" s="272"/>
      <c r="AT44" s="245"/>
      <c r="AU44" s="245"/>
      <c r="AV44" s="245"/>
      <c r="AW44" s="245"/>
      <c r="AX44" s="245"/>
      <c r="AY44" s="245"/>
      <c r="AZ44" s="263">
        <v>441916</v>
      </c>
      <c r="BA44" s="264" t="s">
        <v>682</v>
      </c>
      <c r="BB44" s="267"/>
      <c r="BC44" s="269"/>
      <c r="BD44" s="245"/>
      <c r="BE44" s="263">
        <v>442033</v>
      </c>
      <c r="BF44" s="264" t="s">
        <v>683</v>
      </c>
      <c r="BG44" s="267"/>
      <c r="BH44" s="269"/>
      <c r="BI44" s="245"/>
      <c r="BJ44" s="245"/>
      <c r="BK44" s="245"/>
      <c r="BL44" s="245"/>
      <c r="BM44" s="245"/>
      <c r="BN44" s="245"/>
      <c r="BO44" s="263">
        <v>3516193</v>
      </c>
      <c r="BP44" s="264" t="s">
        <v>684</v>
      </c>
      <c r="BQ44" s="267"/>
      <c r="BR44" s="269"/>
      <c r="BS44" s="245"/>
      <c r="BT44" s="263">
        <v>4516060</v>
      </c>
      <c r="BU44" s="264" t="s">
        <v>685</v>
      </c>
      <c r="BV44" s="267"/>
      <c r="BW44" s="269"/>
      <c r="BX44" s="245"/>
      <c r="BY44" s="263">
        <v>4543132</v>
      </c>
      <c r="BZ44" s="264" t="s">
        <v>686</v>
      </c>
      <c r="CA44" s="267"/>
      <c r="CB44" s="269"/>
      <c r="CC44" s="245"/>
      <c r="CD44" s="275" t="s">
        <v>492</v>
      </c>
      <c r="CE44" s="276" t="s">
        <v>495</v>
      </c>
      <c r="CF44" s="275" t="s">
        <v>467</v>
      </c>
      <c r="CG44" s="245"/>
      <c r="CH44" s="245"/>
      <c r="CI44" s="263">
        <v>4546010</v>
      </c>
      <c r="CJ44" s="264" t="s">
        <v>687</v>
      </c>
      <c r="CK44" s="267"/>
      <c r="CL44" s="269"/>
      <c r="CM44" s="245"/>
      <c r="CN44" s="275" t="s">
        <v>492</v>
      </c>
      <c r="CO44" s="276" t="s">
        <v>495</v>
      </c>
      <c r="CP44" s="275" t="s">
        <v>467</v>
      </c>
      <c r="CQ44" s="245"/>
      <c r="CR44" s="245"/>
      <c r="CS44" s="281">
        <v>3741</v>
      </c>
      <c r="CT44" s="282" t="s">
        <v>500</v>
      </c>
      <c r="CU44" s="283">
        <f>insumos!$G$213</f>
        <v>0.8355871886120997</v>
      </c>
      <c r="CV44" s="284"/>
      <c r="CW44" s="245"/>
      <c r="CX44" s="245"/>
      <c r="CY44" s="245"/>
      <c r="CZ44" s="245"/>
      <c r="DA44" s="245"/>
      <c r="DB44" s="245"/>
      <c r="DC44" s="245"/>
      <c r="DD44" s="245"/>
      <c r="DE44" s="245"/>
      <c r="DF44" s="245"/>
      <c r="DG44" s="245"/>
      <c r="DH44" s="26" t="s">
        <v>521</v>
      </c>
      <c r="DI44" s="30" t="s">
        <v>522</v>
      </c>
      <c r="DJ44" s="31">
        <f>+insumos!$H$274</f>
        <v>1.6</v>
      </c>
      <c r="DK44" s="245"/>
      <c r="DL44" s="245"/>
      <c r="DM44" s="263">
        <v>1993930</v>
      </c>
      <c r="DN44" s="264" t="s">
        <v>688</v>
      </c>
      <c r="DO44" s="267"/>
      <c r="DP44" s="269"/>
      <c r="DQ44" s="245"/>
      <c r="DR44" s="245"/>
      <c r="DS44" s="245"/>
      <c r="DT44" s="245"/>
      <c r="DU44" s="245"/>
      <c r="DV44" s="245"/>
      <c r="DW44" s="245"/>
      <c r="DX44" s="245"/>
      <c r="DY44" s="245"/>
      <c r="DZ44" s="245"/>
      <c r="EA44" s="245"/>
      <c r="EB44" s="245"/>
      <c r="EC44" s="245"/>
      <c r="ED44" s="245"/>
      <c r="EE44" s="245"/>
    </row>
    <row r="45" spans="1:135" x14ac:dyDescent="0.25">
      <c r="A45" s="245"/>
      <c r="B45" s="263">
        <v>439016</v>
      </c>
      <c r="C45" s="264" t="s">
        <v>469</v>
      </c>
      <c r="D45" s="271">
        <f>1160</f>
        <v>1160</v>
      </c>
      <c r="E45" s="272">
        <f>D45/E2</f>
        <v>28.812717337307504</v>
      </c>
      <c r="F45" s="245"/>
      <c r="G45" s="26">
        <v>2173</v>
      </c>
      <c r="H45" s="243" t="s">
        <v>536</v>
      </c>
      <c r="I45" s="289">
        <f>+insumos!$H$149*2</f>
        <v>0.0349502662966019</v>
      </c>
      <c r="J45" s="291" t="s">
        <v>547</v>
      </c>
      <c r="K45" s="291"/>
      <c r="L45" s="26">
        <v>2173</v>
      </c>
      <c r="M45" s="288" t="s">
        <v>536</v>
      </c>
      <c r="N45" s="289">
        <f>+insumos!$H$149*2</f>
        <v>0.0349502662966019</v>
      </c>
      <c r="O45" s="291" t="s">
        <v>547</v>
      </c>
      <c r="P45" s="245"/>
      <c r="Q45" s="281">
        <v>3636</v>
      </c>
      <c r="R45" s="282" t="s">
        <v>550</v>
      </c>
      <c r="S45" s="283">
        <f>+insumos!$H$121</f>
        <v>0.0445</v>
      </c>
      <c r="T45" s="245"/>
      <c r="U45" s="245"/>
      <c r="V45" s="292"/>
      <c r="W45" s="279" t="s">
        <v>553</v>
      </c>
      <c r="X45" s="293"/>
      <c r="Y45" s="245"/>
      <c r="Z45" s="245"/>
      <c r="AA45" s="26">
        <v>2173</v>
      </c>
      <c r="AB45" s="243" t="s">
        <v>536</v>
      </c>
      <c r="AC45" s="289">
        <f>+insumos!$H$149*2</f>
        <v>0.0349502662966019</v>
      </c>
      <c r="AD45" s="1" t="s">
        <v>547</v>
      </c>
      <c r="AE45" s="245"/>
      <c r="AF45" s="245"/>
      <c r="AG45" s="245"/>
      <c r="AH45" s="245"/>
      <c r="AI45" s="245"/>
      <c r="AJ45" s="245"/>
      <c r="AK45" s="26">
        <v>2173</v>
      </c>
      <c r="AL45" s="243" t="s">
        <v>536</v>
      </c>
      <c r="AM45" s="289">
        <f>+insumos!$H$149*2</f>
        <v>0.0349502662966019</v>
      </c>
      <c r="AN45" s="1" t="s">
        <v>547</v>
      </c>
      <c r="AO45" s="245"/>
      <c r="AP45" s="275" t="s">
        <v>492</v>
      </c>
      <c r="AQ45" s="276" t="s">
        <v>495</v>
      </c>
      <c r="AR45" s="275" t="s">
        <v>467</v>
      </c>
      <c r="AS45" s="269"/>
      <c r="AT45" s="245"/>
      <c r="AU45" s="245"/>
      <c r="AV45" s="245"/>
      <c r="AW45" s="245"/>
      <c r="AX45" s="245"/>
      <c r="AY45" s="245"/>
      <c r="AZ45" s="275" t="s">
        <v>492</v>
      </c>
      <c r="BA45" s="276" t="s">
        <v>495</v>
      </c>
      <c r="BB45" s="275" t="s">
        <v>467</v>
      </c>
      <c r="BC45" s="269"/>
      <c r="BD45" s="245"/>
      <c r="BE45" s="275" t="s">
        <v>492</v>
      </c>
      <c r="BF45" s="276" t="s">
        <v>495</v>
      </c>
      <c r="BG45" s="275" t="s">
        <v>467</v>
      </c>
      <c r="BH45" s="269"/>
      <c r="BI45" s="245"/>
      <c r="BJ45" s="245"/>
      <c r="BK45" s="245"/>
      <c r="BL45" s="245"/>
      <c r="BM45" s="245"/>
      <c r="BN45" s="245"/>
      <c r="BO45" s="275" t="s">
        <v>492</v>
      </c>
      <c r="BP45" s="276" t="s">
        <v>495</v>
      </c>
      <c r="BQ45" s="275" t="s">
        <v>467</v>
      </c>
      <c r="BR45" s="269"/>
      <c r="BS45" s="245"/>
      <c r="BT45" s="275" t="s">
        <v>492</v>
      </c>
      <c r="BU45" s="276" t="s">
        <v>495</v>
      </c>
      <c r="BV45" s="275" t="s">
        <v>467</v>
      </c>
      <c r="BW45" s="269"/>
      <c r="BX45" s="245"/>
      <c r="BY45" s="275" t="s">
        <v>492</v>
      </c>
      <c r="BZ45" s="276" t="s">
        <v>495</v>
      </c>
      <c r="CA45" s="275" t="s">
        <v>467</v>
      </c>
      <c r="CB45" s="269"/>
      <c r="CC45" s="245"/>
      <c r="CD45" s="278"/>
      <c r="CE45" s="279" t="s">
        <v>134</v>
      </c>
      <c r="CF45" s="278"/>
      <c r="CG45" s="245"/>
      <c r="CH45" s="245"/>
      <c r="CI45" s="275" t="s">
        <v>492</v>
      </c>
      <c r="CJ45" s="276" t="s">
        <v>495</v>
      </c>
      <c r="CK45" s="275" t="s">
        <v>467</v>
      </c>
      <c r="CL45" s="269"/>
      <c r="CM45" s="245"/>
      <c r="CN45" s="278"/>
      <c r="CO45" s="279" t="s">
        <v>134</v>
      </c>
      <c r="CP45" s="278"/>
      <c r="CQ45" s="245"/>
      <c r="CR45" s="245"/>
      <c r="CS45" s="26" t="s">
        <v>515</v>
      </c>
      <c r="CT45" s="30" t="s">
        <v>516</v>
      </c>
      <c r="CU45" s="283">
        <f>+insumos!$G$283</f>
        <v>1.1</v>
      </c>
      <c r="CV45" s="284"/>
      <c r="CW45" s="245"/>
      <c r="CX45" s="245"/>
      <c r="CY45" s="245"/>
      <c r="CZ45" s="245"/>
      <c r="DA45" s="245"/>
      <c r="DB45" s="245"/>
      <c r="DC45" s="245"/>
      <c r="DD45" s="245"/>
      <c r="DE45" s="245"/>
      <c r="DF45" s="245"/>
      <c r="DG45" s="245"/>
      <c r="DH45" s="281">
        <v>4986</v>
      </c>
      <c r="DI45" s="30" t="s">
        <v>530</v>
      </c>
      <c r="DJ45" s="283">
        <f>insumos!$H$255*2</f>
        <v>0.3799997578260041</v>
      </c>
      <c r="DK45" s="284" t="s">
        <v>532</v>
      </c>
      <c r="DL45" s="245"/>
      <c r="DM45" s="275" t="s">
        <v>492</v>
      </c>
      <c r="DN45" s="276" t="s">
        <v>495</v>
      </c>
      <c r="DO45" s="275" t="s">
        <v>467</v>
      </c>
      <c r="DP45" s="269"/>
      <c r="DQ45" s="245"/>
      <c r="DR45" s="245"/>
      <c r="DS45" s="245"/>
      <c r="DT45" s="245"/>
      <c r="DU45" s="245"/>
      <c r="DV45" s="245"/>
      <c r="DW45" s="266"/>
      <c r="DX45" s="266"/>
      <c r="DY45" s="266"/>
      <c r="DZ45" s="245"/>
      <c r="EA45" s="245"/>
      <c r="EB45" s="245"/>
      <c r="EC45" s="245"/>
      <c r="ED45" s="245"/>
      <c r="EE45" s="245"/>
    </row>
    <row r="46" spans="1:135" x14ac:dyDescent="0.25">
      <c r="A46" s="245"/>
      <c r="B46" s="275" t="s">
        <v>492</v>
      </c>
      <c r="C46" s="276" t="s">
        <v>495</v>
      </c>
      <c r="D46" s="275" t="s">
        <v>467</v>
      </c>
      <c r="E46" s="269"/>
      <c r="F46" s="245"/>
      <c r="G46" s="281">
        <v>3636</v>
      </c>
      <c r="H46" s="282" t="s">
        <v>550</v>
      </c>
      <c r="I46" s="283">
        <f>+insumos!$H$121</f>
        <v>0.0445</v>
      </c>
      <c r="J46" s="284"/>
      <c r="K46" s="285"/>
      <c r="L46" s="281">
        <v>3636</v>
      </c>
      <c r="M46" s="286" t="s">
        <v>550</v>
      </c>
      <c r="N46" s="283">
        <f>+insumos!$H$121</f>
        <v>0.0445</v>
      </c>
      <c r="O46" s="285"/>
      <c r="P46" s="245"/>
      <c r="Q46" s="292"/>
      <c r="R46" s="279" t="s">
        <v>553</v>
      </c>
      <c r="S46" s="293"/>
      <c r="T46" s="245"/>
      <c r="U46" s="245"/>
      <c r="V46" s="281">
        <v>5450</v>
      </c>
      <c r="W46" s="282" t="s">
        <v>689</v>
      </c>
      <c r="X46" s="283">
        <f>insumos!H91*5</f>
        <v>0.5899659863945578</v>
      </c>
      <c r="Y46" s="245" t="s">
        <v>652</v>
      </c>
      <c r="Z46" s="245"/>
      <c r="AA46" s="281">
        <v>3636</v>
      </c>
      <c r="AB46" s="282" t="s">
        <v>550</v>
      </c>
      <c r="AC46" s="283">
        <f>+insumos!$H$121</f>
        <v>0.0445</v>
      </c>
      <c r="AD46" s="245"/>
      <c r="AE46" s="245"/>
      <c r="AF46" s="259">
        <v>886407</v>
      </c>
      <c r="AG46" s="260" t="s">
        <v>690</v>
      </c>
      <c r="AH46" s="259"/>
      <c r="AI46" s="272"/>
      <c r="AJ46" s="245"/>
      <c r="AK46" s="281">
        <v>3636</v>
      </c>
      <c r="AL46" s="282" t="s">
        <v>550</v>
      </c>
      <c r="AM46" s="283">
        <f>+insumos!$H$121</f>
        <v>0.0445</v>
      </c>
      <c r="AN46" s="245"/>
      <c r="AO46" s="245"/>
      <c r="AP46" s="278"/>
      <c r="AQ46" s="279" t="s">
        <v>134</v>
      </c>
      <c r="AR46" s="278"/>
      <c r="AS46" s="269"/>
      <c r="AT46" s="245"/>
      <c r="AU46" s="245"/>
      <c r="AV46" s="245"/>
      <c r="AW46" s="245"/>
      <c r="AX46" s="245"/>
      <c r="AY46" s="245"/>
      <c r="AZ46" s="278"/>
      <c r="BA46" s="279" t="s">
        <v>134</v>
      </c>
      <c r="BB46" s="278"/>
      <c r="BC46" s="269"/>
      <c r="BD46" s="245"/>
      <c r="BE46" s="278"/>
      <c r="BF46" s="279" t="s">
        <v>134</v>
      </c>
      <c r="BG46" s="278"/>
      <c r="BH46" s="269"/>
      <c r="BI46" s="245"/>
      <c r="BJ46" s="245"/>
      <c r="BK46" s="245"/>
      <c r="BL46" s="245"/>
      <c r="BM46" s="245"/>
      <c r="BN46" s="245"/>
      <c r="BO46" s="278"/>
      <c r="BP46" s="279" t="s">
        <v>134</v>
      </c>
      <c r="BQ46" s="278"/>
      <c r="BR46" s="269"/>
      <c r="BS46" s="245"/>
      <c r="BT46" s="278"/>
      <c r="BU46" s="279" t="s">
        <v>134</v>
      </c>
      <c r="BV46" s="278"/>
      <c r="BW46" s="269"/>
      <c r="BX46" s="245"/>
      <c r="BY46" s="278"/>
      <c r="BZ46" s="279" t="s">
        <v>134</v>
      </c>
      <c r="CA46" s="278"/>
      <c r="CB46" s="269"/>
      <c r="CC46" s="245"/>
      <c r="CD46" s="281">
        <v>3741</v>
      </c>
      <c r="CE46" s="282" t="s">
        <v>500</v>
      </c>
      <c r="CF46" s="31">
        <f>insumos!$G$213</f>
        <v>0.8355871886120997</v>
      </c>
      <c r="CG46" s="245"/>
      <c r="CH46" s="245"/>
      <c r="CI46" s="278"/>
      <c r="CJ46" s="279" t="s">
        <v>134</v>
      </c>
      <c r="CK46" s="278"/>
      <c r="CL46" s="269"/>
      <c r="CM46" s="245"/>
      <c r="CN46" s="281">
        <v>3741</v>
      </c>
      <c r="CO46" s="282" t="s">
        <v>500</v>
      </c>
      <c r="CP46" s="283">
        <f>insumos!$G$213</f>
        <v>0.8355871886120997</v>
      </c>
      <c r="CQ46" s="245"/>
      <c r="CR46" s="245"/>
      <c r="CS46" s="281">
        <v>4986</v>
      </c>
      <c r="CT46" s="30" t="s">
        <v>530</v>
      </c>
      <c r="CU46" s="283">
        <f>insumos!$H$255*4</f>
        <v>0.7599995156520082</v>
      </c>
      <c r="CV46" s="284" t="s">
        <v>531</v>
      </c>
      <c r="CW46" s="245"/>
      <c r="CX46" s="245"/>
      <c r="CY46" s="245"/>
      <c r="CZ46" s="245"/>
      <c r="DA46" s="245"/>
      <c r="DB46" s="245"/>
      <c r="DC46" s="245"/>
      <c r="DD46" s="245"/>
      <c r="DE46" s="245"/>
      <c r="DF46" s="245"/>
      <c r="DG46" s="245"/>
      <c r="DH46" s="281">
        <v>4541</v>
      </c>
      <c r="DI46" s="282" t="s">
        <v>528</v>
      </c>
      <c r="DJ46" s="283">
        <f>insumos!$H$43</f>
        <v>0.022058823529411766</v>
      </c>
      <c r="DK46" s="285" t="s">
        <v>538</v>
      </c>
      <c r="DL46" s="245"/>
      <c r="DM46" s="278"/>
      <c r="DN46" s="279" t="s">
        <v>134</v>
      </c>
      <c r="DO46" s="278"/>
      <c r="DP46" s="269"/>
      <c r="DQ46" s="245"/>
      <c r="DR46" s="245"/>
      <c r="DS46" s="245"/>
      <c r="DT46" s="245"/>
      <c r="DU46" s="245"/>
      <c r="DV46" s="245"/>
      <c r="DW46" s="245"/>
      <c r="DX46" s="245"/>
      <c r="DY46" s="245"/>
      <c r="DZ46" s="245"/>
      <c r="EA46" s="245"/>
      <c r="EB46" s="245"/>
      <c r="EC46" s="245"/>
      <c r="ED46" s="245"/>
      <c r="EE46" s="245"/>
    </row>
    <row r="47" spans="1:135" x14ac:dyDescent="0.25">
      <c r="A47" s="245"/>
      <c r="B47" s="278"/>
      <c r="C47" s="279" t="s">
        <v>134</v>
      </c>
      <c r="D47" s="278"/>
      <c r="E47" s="269"/>
      <c r="F47" s="245"/>
      <c r="G47" s="292"/>
      <c r="H47" s="279" t="s">
        <v>553</v>
      </c>
      <c r="I47" s="293"/>
      <c r="J47" s="284"/>
      <c r="K47" s="285"/>
      <c r="L47" s="292"/>
      <c r="M47" s="280" t="s">
        <v>553</v>
      </c>
      <c r="N47" s="293"/>
      <c r="O47" s="285"/>
      <c r="P47" s="245"/>
      <c r="Q47" s="26" t="s">
        <v>691</v>
      </c>
      <c r="R47" s="1" t="s">
        <v>692</v>
      </c>
      <c r="S47" s="283">
        <f>insumos!$H$93*6</f>
        <v>0.684</v>
      </c>
      <c r="T47" s="1" t="s">
        <v>662</v>
      </c>
      <c r="U47" s="245"/>
      <c r="V47" s="297"/>
      <c r="W47" s="298" t="s">
        <v>5</v>
      </c>
      <c r="X47" s="299">
        <f>SUM(X39:X46)</f>
        <v>2.495316209997681</v>
      </c>
      <c r="Y47" s="245"/>
      <c r="Z47" s="245"/>
      <c r="AA47" s="292"/>
      <c r="AB47" s="279" t="s">
        <v>553</v>
      </c>
      <c r="AC47" s="293"/>
      <c r="AD47" s="245"/>
      <c r="AE47" s="245"/>
      <c r="AF47" s="275" t="s">
        <v>492</v>
      </c>
      <c r="AG47" s="276" t="s">
        <v>495</v>
      </c>
      <c r="AH47" s="275" t="s">
        <v>467</v>
      </c>
      <c r="AI47" s="245"/>
      <c r="AJ47" s="245"/>
      <c r="AK47" s="292"/>
      <c r="AL47" s="279" t="s">
        <v>553</v>
      </c>
      <c r="AM47" s="293"/>
      <c r="AN47" s="245"/>
      <c r="AO47" s="245"/>
      <c r="AP47" s="281">
        <v>5524</v>
      </c>
      <c r="AQ47" s="1" t="s">
        <v>501</v>
      </c>
      <c r="AR47" s="283">
        <f>insumos!$H$217</f>
        <v>0.8950000000000001</v>
      </c>
      <c r="AS47" s="284"/>
      <c r="AT47" s="245"/>
      <c r="AU47" s="245"/>
      <c r="AV47" s="245"/>
      <c r="AW47" s="245"/>
      <c r="AX47" s="245"/>
      <c r="AY47" s="245"/>
      <c r="AZ47" s="281">
        <v>3741</v>
      </c>
      <c r="BA47" s="282" t="s">
        <v>500</v>
      </c>
      <c r="BB47" s="283">
        <f>insumos!$G$213</f>
        <v>0.8355871886120997</v>
      </c>
      <c r="BC47" s="284"/>
      <c r="BD47" s="285"/>
      <c r="BE47" s="281">
        <v>3741</v>
      </c>
      <c r="BF47" s="282" t="s">
        <v>500</v>
      </c>
      <c r="BG47" s="283">
        <f>insumos!$G$213</f>
        <v>0.8355871886120997</v>
      </c>
      <c r="BH47" s="284"/>
      <c r="BI47" s="245"/>
      <c r="BJ47" s="245"/>
      <c r="BK47" s="245"/>
      <c r="BL47" s="245"/>
      <c r="BM47" s="245"/>
      <c r="BN47" s="245"/>
      <c r="BO47" s="281">
        <v>3741</v>
      </c>
      <c r="BP47" s="282" t="s">
        <v>500</v>
      </c>
      <c r="BQ47" s="283">
        <f>insumos!$G$213</f>
        <v>0.8355871886120997</v>
      </c>
      <c r="BR47" s="284"/>
      <c r="BS47" s="285"/>
      <c r="BT47" s="281">
        <v>3741</v>
      </c>
      <c r="BU47" s="282" t="s">
        <v>500</v>
      </c>
      <c r="BV47" s="283">
        <f>insumos!$G$213</f>
        <v>0.8355871886120997</v>
      </c>
      <c r="BW47" s="284"/>
      <c r="BX47" s="245"/>
      <c r="BY47" s="281">
        <v>5524</v>
      </c>
      <c r="BZ47" s="1" t="s">
        <v>501</v>
      </c>
      <c r="CA47" s="283">
        <f>insumos!$H$217</f>
        <v>0.8950000000000001</v>
      </c>
      <c r="CB47" s="269"/>
      <c r="CC47" s="245"/>
      <c r="CD47" s="26" t="s">
        <v>515</v>
      </c>
      <c r="CE47" s="30" t="s">
        <v>516</v>
      </c>
      <c r="CF47" s="283">
        <f>+insumos!$G$283</f>
        <v>1.1</v>
      </c>
      <c r="CG47" s="245"/>
      <c r="CH47" s="245"/>
      <c r="CI47" s="281">
        <v>3741</v>
      </c>
      <c r="CJ47" s="282" t="s">
        <v>500</v>
      </c>
      <c r="CK47" s="31">
        <f>insumos!$G$213</f>
        <v>0.8355871886120997</v>
      </c>
      <c r="CL47" s="245"/>
      <c r="CM47" s="245"/>
      <c r="CN47" s="281">
        <v>3759</v>
      </c>
      <c r="CO47" s="1" t="s">
        <v>507</v>
      </c>
      <c r="CP47" s="283">
        <f>+insumos!$G$284</f>
        <v>1.1352416613292604</v>
      </c>
      <c r="CQ47" s="245"/>
      <c r="CR47" s="245"/>
      <c r="CS47" s="26" t="s">
        <v>539</v>
      </c>
      <c r="CT47" s="30" t="s">
        <v>540</v>
      </c>
      <c r="CU47" s="283">
        <f>insumos!$H$45</f>
        <v>0.028</v>
      </c>
      <c r="CV47" s="284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6">
        <v>3817</v>
      </c>
      <c r="DI47" s="243" t="s">
        <v>524</v>
      </c>
      <c r="DJ47" s="289">
        <f>insumos!$I$103*1.8</f>
        <v>0.02088</v>
      </c>
      <c r="DK47" s="1" t="s">
        <v>547</v>
      </c>
      <c r="DL47" s="245"/>
      <c r="DM47" s="281">
        <v>3741</v>
      </c>
      <c r="DN47" s="282" t="s">
        <v>500</v>
      </c>
      <c r="DO47" s="283">
        <f>insumos!$G$213</f>
        <v>0.8355871886120997</v>
      </c>
      <c r="DP47" s="284"/>
      <c r="DQ47" s="285"/>
      <c r="DR47" s="285"/>
      <c r="DS47" s="285"/>
      <c r="DT47" s="285"/>
      <c r="DU47" s="285"/>
      <c r="DV47" s="285"/>
      <c r="DW47" s="245"/>
      <c r="DX47" s="245"/>
      <c r="DY47" s="245"/>
      <c r="DZ47" s="285"/>
      <c r="EA47" s="285"/>
      <c r="EB47" s="285"/>
      <c r="EC47" s="245"/>
      <c r="ED47" s="245"/>
      <c r="EE47" s="245"/>
    </row>
    <row r="48" spans="1:135" x14ac:dyDescent="0.25">
      <c r="A48" s="245"/>
      <c r="B48" s="281">
        <v>3741</v>
      </c>
      <c r="C48" s="282" t="s">
        <v>500</v>
      </c>
      <c r="D48" s="283">
        <f>insumos!$G$213</f>
        <v>0.8355871886120997</v>
      </c>
      <c r="E48" s="284"/>
      <c r="F48" s="245"/>
      <c r="G48" s="26" t="s">
        <v>655</v>
      </c>
      <c r="H48" s="30" t="s">
        <v>656</v>
      </c>
      <c r="I48" s="283">
        <f>insumos!$H$56*12</f>
        <v>2.304</v>
      </c>
      <c r="J48" s="300"/>
      <c r="K48" s="291"/>
      <c r="L48" s="26" t="s">
        <v>693</v>
      </c>
      <c r="M48" s="1" t="s">
        <v>694</v>
      </c>
      <c r="N48" s="283">
        <f>insumos!$H$67*12</f>
        <v>0.7320111633927006</v>
      </c>
      <c r="O48" s="291" t="s">
        <v>568</v>
      </c>
      <c r="P48" s="245"/>
      <c r="Q48" s="26" t="s">
        <v>658</v>
      </c>
      <c r="R48" s="30" t="s">
        <v>659</v>
      </c>
      <c r="S48" s="283">
        <f>insumos!$H$135*6</f>
        <v>0.123</v>
      </c>
      <c r="T48" s="1" t="s">
        <v>662</v>
      </c>
      <c r="U48" s="245"/>
      <c r="V48" s="281"/>
      <c r="W48" s="282" t="s">
        <v>587</v>
      </c>
      <c r="X48" s="281">
        <v>19.8</v>
      </c>
      <c r="Y48" s="245"/>
      <c r="Z48" s="245"/>
      <c r="AA48" s="26" t="s">
        <v>695</v>
      </c>
      <c r="AB48" s="30" t="s">
        <v>696</v>
      </c>
      <c r="AC48" s="283">
        <f>insumos!$H$225*4</f>
        <v>0.4</v>
      </c>
      <c r="AD48" s="1" t="s">
        <v>531</v>
      </c>
      <c r="AE48" s="245"/>
      <c r="AF48" s="278"/>
      <c r="AG48" s="279" t="s">
        <v>134</v>
      </c>
      <c r="AH48" s="278"/>
      <c r="AI48" s="245"/>
      <c r="AJ48" s="245"/>
      <c r="AK48" s="26" t="s">
        <v>566</v>
      </c>
      <c r="AL48" s="30" t="s">
        <v>567</v>
      </c>
      <c r="AM48" s="283">
        <f>insumos!$H$113*6</f>
        <v>0.16205672317302872</v>
      </c>
      <c r="AN48" s="1" t="s">
        <v>662</v>
      </c>
      <c r="AO48" s="245"/>
      <c r="AP48" s="281">
        <v>5523</v>
      </c>
      <c r="AQ48" s="282" t="s">
        <v>508</v>
      </c>
      <c r="AR48" s="283">
        <f>+insumos!$H$285</f>
        <v>1.1829611337771098</v>
      </c>
      <c r="AS48" s="284"/>
      <c r="AT48" s="245"/>
      <c r="AU48" s="245"/>
      <c r="AV48" s="245"/>
      <c r="AW48" s="245"/>
      <c r="AX48" s="245"/>
      <c r="AY48" s="245"/>
      <c r="AZ48" s="26" t="s">
        <v>515</v>
      </c>
      <c r="BA48" s="30" t="s">
        <v>516</v>
      </c>
      <c r="BB48" s="283">
        <f>+insumos!$G$283</f>
        <v>1.1</v>
      </c>
      <c r="BC48" s="284"/>
      <c r="BD48" s="285"/>
      <c r="BE48" s="26" t="s">
        <v>517</v>
      </c>
      <c r="BF48" s="30" t="s">
        <v>518</v>
      </c>
      <c r="BG48" s="283">
        <f>+insumos!$H$263</f>
        <v>1.6</v>
      </c>
      <c r="BH48" s="284"/>
      <c r="BI48" s="245"/>
      <c r="BJ48" s="245"/>
      <c r="BK48" s="245"/>
      <c r="BL48" s="245"/>
      <c r="BM48" s="245"/>
      <c r="BN48" s="245"/>
      <c r="BO48" s="26" t="s">
        <v>515</v>
      </c>
      <c r="BP48" s="30" t="s">
        <v>516</v>
      </c>
      <c r="BQ48" s="283">
        <f>+insumos!$G$283</f>
        <v>1.1</v>
      </c>
      <c r="BR48" s="284"/>
      <c r="BS48" s="285"/>
      <c r="BT48" s="26">
        <v>6265</v>
      </c>
      <c r="BU48" s="30" t="s">
        <v>520</v>
      </c>
      <c r="BV48" s="283">
        <f>+insumos!$H$279</f>
        <v>1.25</v>
      </c>
      <c r="BW48" s="284"/>
      <c r="BX48" s="245"/>
      <c r="BY48" s="281">
        <v>5523</v>
      </c>
      <c r="BZ48" s="282" t="s">
        <v>508</v>
      </c>
      <c r="CA48" s="283">
        <f>+insumos!$H$285</f>
        <v>1.1829611337771098</v>
      </c>
      <c r="CB48" s="269"/>
      <c r="CC48" s="245"/>
      <c r="CD48" s="281">
        <v>4653</v>
      </c>
      <c r="CE48" s="282" t="s">
        <v>525</v>
      </c>
      <c r="CF48" s="283">
        <f>insumos!$H$254*5</f>
        <v>0.9320298052866312</v>
      </c>
      <c r="CG48" s="284" t="s">
        <v>652</v>
      </c>
      <c r="CH48" s="285"/>
      <c r="CI48" s="26" t="s">
        <v>521</v>
      </c>
      <c r="CJ48" s="30" t="s">
        <v>522</v>
      </c>
      <c r="CK48" s="31">
        <f>+insumos!$H$274</f>
        <v>1.6</v>
      </c>
      <c r="CL48" s="245"/>
      <c r="CM48" s="285"/>
      <c r="CN48" s="281">
        <v>4653</v>
      </c>
      <c r="CO48" s="282" t="s">
        <v>525</v>
      </c>
      <c r="CP48" s="283">
        <f>insumos!$H$254*2</f>
        <v>0.37281192211465247</v>
      </c>
      <c r="CQ48" s="1" t="s">
        <v>547</v>
      </c>
      <c r="CR48" s="285"/>
      <c r="CS48" s="26">
        <v>3817</v>
      </c>
      <c r="CT48" s="243" t="s">
        <v>524</v>
      </c>
      <c r="CU48" s="289">
        <f>insumos!$I$103*1.8</f>
        <v>0.02088</v>
      </c>
      <c r="CV48" s="290" t="s">
        <v>537</v>
      </c>
      <c r="CW48" s="285"/>
      <c r="CX48" s="285"/>
      <c r="CY48" s="285"/>
      <c r="CZ48" s="285"/>
      <c r="DA48" s="285"/>
      <c r="DB48" s="285"/>
      <c r="DC48" s="285"/>
      <c r="DD48" s="285"/>
      <c r="DE48" s="285"/>
      <c r="DF48" s="285"/>
      <c r="DG48" s="285"/>
      <c r="DH48" s="26">
        <v>2173</v>
      </c>
      <c r="DI48" s="243" t="s">
        <v>536</v>
      </c>
      <c r="DJ48" s="289">
        <f>+insumos!$H$149*2</f>
        <v>0.0349502662966019</v>
      </c>
      <c r="DK48" s="245"/>
      <c r="DL48" s="285"/>
      <c r="DM48" s="26">
        <v>6265</v>
      </c>
      <c r="DN48" s="30" t="s">
        <v>520</v>
      </c>
      <c r="DO48" s="283">
        <f>+insumos!$H$279</f>
        <v>1.25</v>
      </c>
      <c r="DP48" s="284"/>
      <c r="DQ48" s="285"/>
      <c r="DR48" s="285"/>
      <c r="DS48" s="285"/>
      <c r="DT48" s="285"/>
      <c r="DU48" s="285"/>
      <c r="DV48" s="285"/>
      <c r="DW48" s="245"/>
      <c r="DX48" s="245"/>
      <c r="DY48" s="245"/>
      <c r="DZ48" s="285"/>
      <c r="EA48" s="285"/>
      <c r="EB48" s="285"/>
      <c r="EC48" s="285"/>
      <c r="ED48" s="245"/>
      <c r="EE48" s="245"/>
    </row>
    <row r="49" spans="1:135" x14ac:dyDescent="0.25">
      <c r="A49" s="245"/>
      <c r="B49" s="281">
        <v>3759</v>
      </c>
      <c r="C49" s="1" t="s">
        <v>507</v>
      </c>
      <c r="D49" s="283">
        <f>+insumos!$G$284</f>
        <v>1.1352416613292604</v>
      </c>
      <c r="E49" s="284"/>
      <c r="F49" s="245"/>
      <c r="G49" s="26" t="s">
        <v>566</v>
      </c>
      <c r="H49" s="30" t="s">
        <v>567</v>
      </c>
      <c r="I49" s="283">
        <f>insumos!$H$113*12</f>
        <v>0.32411344634605743</v>
      </c>
      <c r="J49" s="300"/>
      <c r="K49" s="291"/>
      <c r="L49" s="26" t="s">
        <v>566</v>
      </c>
      <c r="M49" s="30" t="s">
        <v>567</v>
      </c>
      <c r="N49" s="283">
        <f>insumos!$H$113*12</f>
        <v>0.32411344634605743</v>
      </c>
      <c r="O49" s="291" t="s">
        <v>568</v>
      </c>
      <c r="P49" s="245"/>
      <c r="Q49" s="297"/>
      <c r="R49" s="298" t="s">
        <v>5</v>
      </c>
      <c r="S49" s="299">
        <f>SUM(S40:S48)</f>
        <v>2.1793890898260138</v>
      </c>
      <c r="T49" s="245"/>
      <c r="U49" s="245"/>
      <c r="V49" s="281"/>
      <c r="W49" s="307" t="s">
        <v>599</v>
      </c>
      <c r="X49" s="308">
        <f>+X47/X48</f>
        <v>0.12602607121200407</v>
      </c>
      <c r="Y49" s="245"/>
      <c r="Z49" s="245"/>
      <c r="AA49" s="26" t="s">
        <v>574</v>
      </c>
      <c r="AB49" s="1" t="s">
        <v>575</v>
      </c>
      <c r="AC49" s="283">
        <f>insumos!$H$120*4</f>
        <v>0.0796</v>
      </c>
      <c r="AD49" s="1" t="s">
        <v>531</v>
      </c>
      <c r="AE49" s="245"/>
      <c r="AF49" s="281">
        <v>3741</v>
      </c>
      <c r="AG49" s="282" t="s">
        <v>500</v>
      </c>
      <c r="AH49" s="31">
        <f>insumos!$G$213</f>
        <v>0.8355871886120997</v>
      </c>
      <c r="AI49" s="245"/>
      <c r="AJ49" s="245"/>
      <c r="AK49" s="26" t="s">
        <v>697</v>
      </c>
      <c r="AL49" s="30" t="s">
        <v>698</v>
      </c>
      <c r="AM49" s="283">
        <f>insumos!$H$24*6</f>
        <v>1.326</v>
      </c>
      <c r="AN49" s="1" t="s">
        <v>662</v>
      </c>
      <c r="AO49" s="245"/>
      <c r="AP49" s="281">
        <v>4542</v>
      </c>
      <c r="AQ49" s="282" t="s">
        <v>527</v>
      </c>
      <c r="AR49" s="283">
        <f>insumos!$I$35</f>
        <v>0.022058823529411763</v>
      </c>
      <c r="AS49" s="284"/>
      <c r="AT49" s="245"/>
      <c r="AU49" s="245"/>
      <c r="AV49" s="245"/>
      <c r="AW49" s="245"/>
      <c r="AX49" s="245"/>
      <c r="AY49" s="245"/>
      <c r="AZ49" s="281">
        <v>4986</v>
      </c>
      <c r="BA49" s="30" t="s">
        <v>530</v>
      </c>
      <c r="BB49" s="283">
        <f>insumos!$H$255*3</f>
        <v>0.5699996367390061</v>
      </c>
      <c r="BC49" s="284" t="s">
        <v>526</v>
      </c>
      <c r="BD49" s="285"/>
      <c r="BE49" s="281">
        <v>4653</v>
      </c>
      <c r="BF49" s="282" t="s">
        <v>525</v>
      </c>
      <c r="BG49" s="283">
        <f>insumos!$H$254*4</f>
        <v>0.7456238442293049</v>
      </c>
      <c r="BH49" s="284" t="s">
        <v>531</v>
      </c>
      <c r="BI49" s="245"/>
      <c r="BJ49" s="245"/>
      <c r="BK49" s="245"/>
      <c r="BL49" s="245"/>
      <c r="BM49" s="245"/>
      <c r="BN49" s="245"/>
      <c r="BO49" s="281"/>
      <c r="BP49" s="282"/>
      <c r="BQ49" s="283"/>
      <c r="BR49" s="284"/>
      <c r="BS49" s="285"/>
      <c r="BT49" s="281">
        <v>4653</v>
      </c>
      <c r="BU49" s="282" t="s">
        <v>525</v>
      </c>
      <c r="BV49" s="283">
        <f>insumos!$H$254*2</f>
        <v>0.37281192211465247</v>
      </c>
      <c r="BW49" s="284"/>
      <c r="BX49" s="245"/>
      <c r="BY49" s="281">
        <v>4986</v>
      </c>
      <c r="BZ49" s="1" t="s">
        <v>530</v>
      </c>
      <c r="CA49" s="283">
        <f>insumos!$H$255*3</f>
        <v>0.5699996367390061</v>
      </c>
      <c r="CB49" s="284" t="s">
        <v>526</v>
      </c>
      <c r="CC49" s="245"/>
      <c r="CD49" s="26" t="s">
        <v>539</v>
      </c>
      <c r="CE49" s="30" t="s">
        <v>540</v>
      </c>
      <c r="CF49" s="283">
        <f>insumos!$H$45</f>
        <v>0.028</v>
      </c>
      <c r="CG49" s="245"/>
      <c r="CH49" s="245"/>
      <c r="CI49" s="281">
        <v>4653</v>
      </c>
      <c r="CJ49" s="282" t="s">
        <v>525</v>
      </c>
      <c r="CK49" s="283">
        <f>insumos!$H$254*3</f>
        <v>0.5592178831719787</v>
      </c>
      <c r="CL49" s="284" t="s">
        <v>526</v>
      </c>
      <c r="CM49" s="245"/>
      <c r="CN49" s="26">
        <v>3817</v>
      </c>
      <c r="CO49" s="243" t="s">
        <v>524</v>
      </c>
      <c r="CP49" s="289">
        <f>insumos!$I$103*1.8</f>
        <v>0.02088</v>
      </c>
      <c r="CQ49" s="285" t="s">
        <v>538</v>
      </c>
      <c r="CR49" s="245"/>
      <c r="CS49" s="26">
        <v>2173</v>
      </c>
      <c r="CT49" s="243" t="s">
        <v>536</v>
      </c>
      <c r="CU49" s="289">
        <f>+insumos!$H$149*2</f>
        <v>0.0349502662966019</v>
      </c>
      <c r="CV49" s="291" t="s">
        <v>547</v>
      </c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81">
        <v>3636</v>
      </c>
      <c r="DI49" s="282" t="s">
        <v>550</v>
      </c>
      <c r="DJ49" s="283">
        <f>+insumos!$H$121</f>
        <v>0.0445</v>
      </c>
      <c r="DK49" s="245"/>
      <c r="DL49" s="245"/>
      <c r="DM49" s="281">
        <v>4653</v>
      </c>
      <c r="DN49" s="282" t="s">
        <v>525</v>
      </c>
      <c r="DO49" s="283">
        <f>insumos!$H$254*3</f>
        <v>0.5592178831719787</v>
      </c>
      <c r="DP49" s="284" t="s">
        <v>526</v>
      </c>
      <c r="DQ49" s="285"/>
      <c r="DR49" s="285"/>
      <c r="DS49" s="285"/>
      <c r="DT49" s="285"/>
      <c r="DU49" s="285"/>
      <c r="DV49" s="285"/>
      <c r="DW49" s="285"/>
      <c r="DX49" s="285"/>
      <c r="DY49" s="285"/>
      <c r="DZ49" s="285"/>
      <c r="EA49" s="285"/>
      <c r="EB49" s="285"/>
      <c r="EC49" s="245"/>
      <c r="ED49" s="245"/>
      <c r="EE49" s="245"/>
    </row>
    <row r="50" spans="1:135" x14ac:dyDescent="0.25">
      <c r="A50" s="245"/>
      <c r="B50" s="281">
        <v>4653</v>
      </c>
      <c r="C50" s="282" t="s">
        <v>525</v>
      </c>
      <c r="D50" s="283">
        <f>insumos!$H$254*3</f>
        <v>0.5592178831719787</v>
      </c>
      <c r="E50" s="284" t="s">
        <v>526</v>
      </c>
      <c r="F50" s="245"/>
      <c r="G50" s="297"/>
      <c r="H50" s="298" t="s">
        <v>5</v>
      </c>
      <c r="I50" s="299">
        <f>SUM(I41:I49)</f>
        <v>4.828463669949182</v>
      </c>
      <c r="J50" s="269"/>
      <c r="K50" s="245"/>
      <c r="L50" s="297"/>
      <c r="M50" s="303" t="s">
        <v>5</v>
      </c>
      <c r="N50" s="299">
        <f>SUM(N41:N49)</f>
        <v>3.214100888176872</v>
      </c>
      <c r="O50" s="245"/>
      <c r="P50" s="245"/>
      <c r="Q50" s="281"/>
      <c r="R50" s="282" t="s">
        <v>587</v>
      </c>
      <c r="S50" s="304">
        <f>70763.24/3806</f>
        <v>18.592548607461904</v>
      </c>
      <c r="T50" s="245"/>
      <c r="U50" s="245"/>
      <c r="V50" s="311"/>
      <c r="W50" s="307" t="s">
        <v>604</v>
      </c>
      <c r="X50" s="308">
        <f>X49*1.03</f>
        <v>0.1298068533483642</v>
      </c>
      <c r="Y50" s="245"/>
      <c r="Z50" s="245"/>
      <c r="AA50" s="297"/>
      <c r="AB50" s="298" t="s">
        <v>5</v>
      </c>
      <c r="AC50" s="299">
        <f>SUM(AC41:AC49)</f>
        <v>1.8519890898260138</v>
      </c>
      <c r="AD50" s="245"/>
      <c r="AE50" s="245"/>
      <c r="AF50" s="281">
        <v>3759</v>
      </c>
      <c r="AG50" s="1" t="s">
        <v>507</v>
      </c>
      <c r="AH50" s="31">
        <f>+insumos!$G$284</f>
        <v>1.1352416613292604</v>
      </c>
      <c r="AI50" s="245"/>
      <c r="AJ50" s="245"/>
      <c r="AK50" s="297"/>
      <c r="AL50" s="298" t="s">
        <v>5</v>
      </c>
      <c r="AM50" s="299">
        <f>SUM(AM40:AM49)</f>
        <v>3.9540865850550553</v>
      </c>
      <c r="AN50" s="245"/>
      <c r="AO50" s="245"/>
      <c r="AP50" s="26">
        <v>3817</v>
      </c>
      <c r="AQ50" s="243" t="s">
        <v>524</v>
      </c>
      <c r="AR50" s="289">
        <f>insumos!$I$103*1.8</f>
        <v>0.02088</v>
      </c>
      <c r="AS50" s="290" t="s">
        <v>537</v>
      </c>
      <c r="AT50" s="245"/>
      <c r="AU50" s="245"/>
      <c r="AV50" s="245"/>
      <c r="AW50" s="245"/>
      <c r="AX50" s="245"/>
      <c r="AY50" s="245"/>
      <c r="AZ50" s="26" t="s">
        <v>539</v>
      </c>
      <c r="BA50" s="30" t="s">
        <v>540</v>
      </c>
      <c r="BB50" s="283">
        <f>insumos!$H$45</f>
        <v>0.028</v>
      </c>
      <c r="BC50" s="284"/>
      <c r="BD50" s="285"/>
      <c r="BE50" s="26" t="s">
        <v>541</v>
      </c>
      <c r="BF50" s="30" t="s">
        <v>542</v>
      </c>
      <c r="BG50" s="283">
        <f>insumos!$H$50</f>
        <v>0.027941176470588237</v>
      </c>
      <c r="BH50" s="284"/>
      <c r="BI50" s="245"/>
      <c r="BJ50" s="245"/>
      <c r="BK50" s="245"/>
      <c r="BL50" s="245"/>
      <c r="BM50" s="245"/>
      <c r="BN50" s="245"/>
      <c r="BO50" s="26" t="s">
        <v>539</v>
      </c>
      <c r="BP50" s="30" t="s">
        <v>540</v>
      </c>
      <c r="BQ50" s="283">
        <f>insumos!$H$45</f>
        <v>0.028</v>
      </c>
      <c r="BR50" s="284"/>
      <c r="BS50" s="285"/>
      <c r="BT50" s="26">
        <v>5353</v>
      </c>
      <c r="BU50" s="30" t="s">
        <v>544</v>
      </c>
      <c r="BV50" s="283">
        <f>insumos!$H$44</f>
        <v>0.028</v>
      </c>
      <c r="BW50" s="284"/>
      <c r="BX50" s="245"/>
      <c r="BY50" s="281">
        <v>4542</v>
      </c>
      <c r="BZ50" s="282" t="s">
        <v>527</v>
      </c>
      <c r="CA50" s="283">
        <f>insumos!$I$35</f>
        <v>0.022058823529411763</v>
      </c>
      <c r="CB50" s="284"/>
      <c r="CC50" s="245"/>
      <c r="CD50" s="26">
        <v>3817</v>
      </c>
      <c r="CE50" s="243" t="s">
        <v>524</v>
      </c>
      <c r="CF50" s="289">
        <f>insumos!$I$103*1.8</f>
        <v>0.02088</v>
      </c>
      <c r="CG50" s="1" t="s">
        <v>538</v>
      </c>
      <c r="CH50" s="1"/>
      <c r="CI50" s="281">
        <v>4541</v>
      </c>
      <c r="CJ50" s="282" t="s">
        <v>529</v>
      </c>
      <c r="CK50" s="283">
        <f>insumos!$H$43</f>
        <v>0.022058823529411766</v>
      </c>
      <c r="CL50" s="245"/>
      <c r="CM50" s="1"/>
      <c r="CN50" s="281">
        <v>4541</v>
      </c>
      <c r="CO50" s="282" t="s">
        <v>528</v>
      </c>
      <c r="CP50" s="283">
        <f>insumos!$H$43</f>
        <v>0.022058823529411766</v>
      </c>
      <c r="CQ50" s="285"/>
      <c r="CR50" s="1"/>
      <c r="CS50" s="281">
        <v>3636</v>
      </c>
      <c r="CT50" s="282" t="s">
        <v>550</v>
      </c>
      <c r="CU50" s="283">
        <f>+insumos!$H$121</f>
        <v>0.0445</v>
      </c>
      <c r="CV50" s="284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292"/>
      <c r="DI50" s="279" t="s">
        <v>553</v>
      </c>
      <c r="DJ50" s="293"/>
      <c r="DL50" s="1"/>
      <c r="DM50" s="26">
        <v>5353</v>
      </c>
      <c r="DN50" s="30" t="s">
        <v>544</v>
      </c>
      <c r="DO50" s="283">
        <f>insumos!$H$44</f>
        <v>0.028</v>
      </c>
      <c r="DP50" s="284"/>
      <c r="DQ50" s="285"/>
      <c r="DR50" s="285"/>
      <c r="DS50" s="285"/>
      <c r="DT50" s="285"/>
      <c r="DU50" s="285"/>
      <c r="DV50" s="285"/>
      <c r="DW50" s="285"/>
      <c r="DX50" s="285"/>
      <c r="DY50" s="285"/>
      <c r="DZ50" s="285"/>
      <c r="EA50" s="285"/>
      <c r="EB50" s="285"/>
      <c r="EC50" s="1"/>
      <c r="ED50" s="245"/>
      <c r="EE50" s="245"/>
    </row>
    <row r="51" spans="1:135" x14ac:dyDescent="0.25">
      <c r="A51" s="245"/>
      <c r="B51" s="281">
        <v>4541</v>
      </c>
      <c r="C51" s="282" t="s">
        <v>528</v>
      </c>
      <c r="D51" s="283">
        <f>insumos!$H$43</f>
        <v>0.022058823529411766</v>
      </c>
      <c r="E51" s="284"/>
      <c r="F51" s="285"/>
      <c r="G51" s="281"/>
      <c r="H51" s="282" t="s">
        <v>587</v>
      </c>
      <c r="I51" s="281">
        <v>19.3</v>
      </c>
      <c r="J51" s="269"/>
      <c r="K51" s="245"/>
      <c r="L51" s="281"/>
      <c r="M51" s="286" t="s">
        <v>587</v>
      </c>
      <c r="N51" s="304">
        <f>3017.41/242</f>
        <v>12.468636363636364</v>
      </c>
      <c r="O51" s="245"/>
      <c r="P51" s="245"/>
      <c r="Q51" s="281"/>
      <c r="R51" s="307" t="s">
        <v>599</v>
      </c>
      <c r="S51" s="308">
        <f>+S49/S50</f>
        <v>0.11721841560502046</v>
      </c>
      <c r="T51" s="245"/>
      <c r="U51" s="245"/>
      <c r="V51" s="245"/>
      <c r="W51" s="245"/>
      <c r="X51" s="245"/>
      <c r="Y51" s="245"/>
      <c r="Z51" s="245"/>
      <c r="AA51" s="281"/>
      <c r="AB51" s="282" t="s">
        <v>587</v>
      </c>
      <c r="AC51" s="304">
        <f>745.27/38</f>
        <v>19.612368421052633</v>
      </c>
      <c r="AD51" s="245"/>
      <c r="AE51" s="245"/>
      <c r="AF51" s="281"/>
      <c r="AG51" s="282"/>
      <c r="AH51" s="283"/>
      <c r="AI51" s="284"/>
      <c r="AJ51" s="245"/>
      <c r="AK51" s="281"/>
      <c r="AL51" s="282" t="s">
        <v>587</v>
      </c>
      <c r="AM51" s="304">
        <f>406.17/34</f>
        <v>11.946176470588236</v>
      </c>
      <c r="AN51" s="245"/>
      <c r="AO51" s="245"/>
      <c r="AP51" s="26">
        <v>2173</v>
      </c>
      <c r="AQ51" s="243" t="s">
        <v>536</v>
      </c>
      <c r="AR51" s="289">
        <f>+insumos!$H$149*2</f>
        <v>0.0349502662966019</v>
      </c>
      <c r="AS51" s="291" t="s">
        <v>547</v>
      </c>
      <c r="AT51" s="245"/>
      <c r="AU51" s="245"/>
      <c r="AV51" s="245"/>
      <c r="AW51" s="245"/>
      <c r="AX51" s="245"/>
      <c r="AY51" s="245"/>
      <c r="AZ51" s="26">
        <v>3817</v>
      </c>
      <c r="BA51" s="243" t="s">
        <v>524</v>
      </c>
      <c r="BB51" s="289">
        <f>insumos!$I$103*1.8</f>
        <v>0.02088</v>
      </c>
      <c r="BC51" s="290" t="s">
        <v>537</v>
      </c>
      <c r="BD51" s="290"/>
      <c r="BE51" s="26">
        <v>3817</v>
      </c>
      <c r="BF51" s="243" t="s">
        <v>524</v>
      </c>
      <c r="BG51" s="289">
        <f>insumos!$I$103*1.8</f>
        <v>0.02088</v>
      </c>
      <c r="BH51" s="290" t="s">
        <v>537</v>
      </c>
      <c r="BI51" s="245"/>
      <c r="BJ51" s="245"/>
      <c r="BK51" s="245"/>
      <c r="BL51" s="245"/>
      <c r="BM51" s="245"/>
      <c r="BN51" s="245"/>
      <c r="BO51" s="26">
        <v>3817</v>
      </c>
      <c r="BP51" s="243" t="s">
        <v>524</v>
      </c>
      <c r="BQ51" s="289">
        <f>insumos!$I$103*1.8</f>
        <v>0.02088</v>
      </c>
      <c r="BR51" s="290" t="s">
        <v>537</v>
      </c>
      <c r="BS51" s="290"/>
      <c r="BT51" s="26">
        <v>3817</v>
      </c>
      <c r="BU51" s="243" t="s">
        <v>524</v>
      </c>
      <c r="BV51" s="289">
        <f>insumos!$I$103*1.8</f>
        <v>0.02088</v>
      </c>
      <c r="BW51" s="290" t="s">
        <v>537</v>
      </c>
      <c r="BX51" s="245"/>
      <c r="BY51" s="26">
        <v>3817</v>
      </c>
      <c r="BZ51" s="243" t="s">
        <v>524</v>
      </c>
      <c r="CA51" s="289">
        <f>insumos!$I$103*1.8</f>
        <v>0.02088</v>
      </c>
      <c r="CB51" s="290" t="s">
        <v>537</v>
      </c>
      <c r="CC51" s="245"/>
      <c r="CD51" s="26">
        <v>2173</v>
      </c>
      <c r="CE51" s="243" t="s">
        <v>536</v>
      </c>
      <c r="CF51" s="289">
        <f>+insumos!$H$149*2</f>
        <v>0.0349502662966019</v>
      </c>
      <c r="CG51" s="1" t="s">
        <v>547</v>
      </c>
      <c r="CH51" s="1"/>
      <c r="CI51" s="26">
        <v>3817</v>
      </c>
      <c r="CJ51" s="243" t="s">
        <v>524</v>
      </c>
      <c r="CK51" s="289">
        <f>insumos!$I$103*1.8</f>
        <v>0.02088</v>
      </c>
      <c r="CL51" s="1" t="s">
        <v>538</v>
      </c>
      <c r="CM51" s="1"/>
      <c r="CN51" s="26">
        <v>2173</v>
      </c>
      <c r="CO51" s="243" t="s">
        <v>536</v>
      </c>
      <c r="CP51" s="289">
        <f>+insumos!$H$149*2</f>
        <v>0.0349502662966019</v>
      </c>
      <c r="CQ51" s="1" t="s">
        <v>547</v>
      </c>
      <c r="CR51" s="1"/>
      <c r="CS51" s="292"/>
      <c r="CT51" s="279" t="s">
        <v>553</v>
      </c>
      <c r="CU51" s="293"/>
      <c r="CV51" s="284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26" t="s">
        <v>566</v>
      </c>
      <c r="DI51" s="30" t="s">
        <v>567</v>
      </c>
      <c r="DJ51" s="283">
        <f>insumos!$H$113*6</f>
        <v>0.16205672317302872</v>
      </c>
      <c r="DK51" s="1" t="s">
        <v>662</v>
      </c>
      <c r="DL51" s="1"/>
      <c r="DM51" s="26">
        <v>3817</v>
      </c>
      <c r="DN51" s="243" t="s">
        <v>524</v>
      </c>
      <c r="DO51" s="289">
        <f>insumos!$I$103*1.8</f>
        <v>0.02088</v>
      </c>
      <c r="DP51" s="290" t="s">
        <v>537</v>
      </c>
      <c r="DQ51" s="290"/>
      <c r="DR51" s="290"/>
      <c r="DS51" s="290"/>
      <c r="DT51" s="290"/>
      <c r="DU51" s="290"/>
      <c r="DV51" s="290"/>
      <c r="DW51" s="285"/>
      <c r="DX51" s="285"/>
      <c r="DY51" s="285"/>
      <c r="DZ51" s="290"/>
      <c r="EA51" s="290"/>
      <c r="EB51" s="290"/>
      <c r="EC51" s="1"/>
      <c r="ED51" s="245"/>
      <c r="EE51" s="245"/>
    </row>
    <row r="52" spans="1:135" x14ac:dyDescent="0.25">
      <c r="A52" s="245"/>
      <c r="B52" s="26">
        <v>3817</v>
      </c>
      <c r="C52" s="243" t="s">
        <v>524</v>
      </c>
      <c r="D52" s="289">
        <f>insumos!$I$103*1.8</f>
        <v>0.02088</v>
      </c>
      <c r="E52" s="290" t="s">
        <v>537</v>
      </c>
      <c r="F52" s="285"/>
      <c r="G52" s="281"/>
      <c r="H52" s="307" t="s">
        <v>599</v>
      </c>
      <c r="I52" s="308">
        <f>+I50/I51</f>
        <v>0.25017946476420627</v>
      </c>
      <c r="J52" s="269"/>
      <c r="K52" s="245"/>
      <c r="L52" s="281"/>
      <c r="M52" s="310" t="s">
        <v>599</v>
      </c>
      <c r="N52" s="308">
        <f>+N50/N51</f>
        <v>0.25777485159086866</v>
      </c>
      <c r="O52" s="245"/>
      <c r="P52" s="245"/>
      <c r="Q52" s="311"/>
      <c r="R52" s="307" t="s">
        <v>604</v>
      </c>
      <c r="S52" s="308">
        <f>S51*1.03</f>
        <v>0.12073496807317108</v>
      </c>
      <c r="T52" s="245"/>
      <c r="U52" s="245"/>
      <c r="V52" s="263">
        <v>993171</v>
      </c>
      <c r="W52" s="264" t="s">
        <v>699</v>
      </c>
      <c r="X52" s="267"/>
      <c r="Y52" s="245"/>
      <c r="Z52" s="245"/>
      <c r="AA52" s="281"/>
      <c r="AB52" s="307" t="s">
        <v>599</v>
      </c>
      <c r="AC52" s="308">
        <f>+AC50/AC51</f>
        <v>0.09442965021185412</v>
      </c>
      <c r="AD52" s="245"/>
      <c r="AE52" s="245"/>
      <c r="AF52" s="281">
        <v>4541</v>
      </c>
      <c r="AG52" s="282" t="s">
        <v>529</v>
      </c>
      <c r="AH52" s="283">
        <f>insumos!$H$43</f>
        <v>0.022058823529411766</v>
      </c>
      <c r="AI52" s="245"/>
      <c r="AJ52" s="245"/>
      <c r="AK52" s="281"/>
      <c r="AL52" s="307" t="s">
        <v>599</v>
      </c>
      <c r="AM52" s="308">
        <f>+AM50/AM51</f>
        <v>0.330991811044321</v>
      </c>
      <c r="AN52" s="245"/>
      <c r="AO52" s="245"/>
      <c r="AP52" s="281">
        <v>3636</v>
      </c>
      <c r="AQ52" s="282" t="s">
        <v>550</v>
      </c>
      <c r="AR52" s="283">
        <f>+insumos!$H$121</f>
        <v>0.0445</v>
      </c>
      <c r="AS52" s="284"/>
      <c r="AT52" s="245"/>
      <c r="AU52" s="245"/>
      <c r="AV52" s="245"/>
      <c r="AW52" s="245"/>
      <c r="AX52" s="245"/>
      <c r="AY52" s="245"/>
      <c r="AZ52" s="26">
        <v>2173</v>
      </c>
      <c r="BA52" s="243" t="s">
        <v>536</v>
      </c>
      <c r="BB52" s="289">
        <f>+insumos!$H$149*2</f>
        <v>0.0349502662966019</v>
      </c>
      <c r="BC52" s="291" t="s">
        <v>547</v>
      </c>
      <c r="BD52" s="291"/>
      <c r="BE52" s="26">
        <v>2173</v>
      </c>
      <c r="BF52" s="243" t="s">
        <v>536</v>
      </c>
      <c r="BG52" s="289">
        <f>+insumos!$H$149*2</f>
        <v>0.0349502662966019</v>
      </c>
      <c r="BH52" s="291" t="s">
        <v>547</v>
      </c>
      <c r="BI52" s="245"/>
      <c r="BJ52" s="245"/>
      <c r="BK52" s="245"/>
      <c r="BL52" s="245"/>
      <c r="BM52" s="245"/>
      <c r="BN52" s="245"/>
      <c r="BO52" s="26">
        <v>2173</v>
      </c>
      <c r="BP52" s="243" t="s">
        <v>536</v>
      </c>
      <c r="BQ52" s="289">
        <f>+insumos!$H$149*2</f>
        <v>0.0349502662966019</v>
      </c>
      <c r="BR52" s="291" t="s">
        <v>547</v>
      </c>
      <c r="BS52" s="291"/>
      <c r="BT52" s="26">
        <v>2173</v>
      </c>
      <c r="BU52" s="243" t="s">
        <v>536</v>
      </c>
      <c r="BV52" s="289">
        <f>+insumos!$H$149*2</f>
        <v>0.0349502662966019</v>
      </c>
      <c r="BW52" s="291" t="s">
        <v>547</v>
      </c>
      <c r="BX52" s="245"/>
      <c r="BY52" s="26">
        <v>2173</v>
      </c>
      <c r="BZ52" s="243" t="s">
        <v>536</v>
      </c>
      <c r="CA52" s="289">
        <f>+insumos!$H$149*2</f>
        <v>0.0349502662966019</v>
      </c>
      <c r="CB52" s="291" t="s">
        <v>547</v>
      </c>
      <c r="CC52" s="245"/>
      <c r="CD52" s="281">
        <v>3636</v>
      </c>
      <c r="CE52" s="282" t="s">
        <v>550</v>
      </c>
      <c r="CF52" s="283">
        <f>+insumos!$H$121</f>
        <v>0.0445</v>
      </c>
      <c r="CI52" s="26">
        <v>2173</v>
      </c>
      <c r="CJ52" s="243" t="s">
        <v>536</v>
      </c>
      <c r="CK52" s="289">
        <f>+insumos!$H$149*2</f>
        <v>0.0349502662966019</v>
      </c>
      <c r="CL52" s="1" t="s">
        <v>547</v>
      </c>
      <c r="CN52" s="281">
        <v>3636</v>
      </c>
      <c r="CO52" s="282" t="s">
        <v>550</v>
      </c>
      <c r="CP52" s="283">
        <f>+insumos!$H$121</f>
        <v>0.0445</v>
      </c>
      <c r="CQ52" s="245"/>
      <c r="CS52" s="26" t="s">
        <v>566</v>
      </c>
      <c r="CT52" s="30" t="s">
        <v>567</v>
      </c>
      <c r="CU52" s="283">
        <f>insumos!$H$113*15</f>
        <v>0.40514180793257176</v>
      </c>
      <c r="CV52" s="300" t="s">
        <v>593</v>
      </c>
      <c r="DH52" s="26" t="s">
        <v>583</v>
      </c>
      <c r="DI52" s="30" t="s">
        <v>584</v>
      </c>
      <c r="DJ52" s="283">
        <f>insumos!H167*6</f>
        <v>0.25458277768999843</v>
      </c>
      <c r="DK52" s="1" t="s">
        <v>662</v>
      </c>
      <c r="DM52" s="26">
        <v>2173</v>
      </c>
      <c r="DN52" s="243" t="s">
        <v>536</v>
      </c>
      <c r="DO52" s="289">
        <f>+insumos!$H$149*2</f>
        <v>0.0349502662966019</v>
      </c>
      <c r="DP52" s="291" t="s">
        <v>547</v>
      </c>
      <c r="DQ52" s="291"/>
      <c r="DR52" s="291"/>
      <c r="DS52" s="291"/>
      <c r="DT52" s="291"/>
      <c r="DU52" s="291"/>
      <c r="DV52" s="291"/>
      <c r="DW52" s="285"/>
      <c r="DX52" s="285"/>
      <c r="DY52" s="285"/>
      <c r="DZ52" s="291"/>
      <c r="EA52" s="291"/>
      <c r="EB52" s="291"/>
      <c r="ED52" s="245"/>
      <c r="EE52" s="245"/>
    </row>
    <row r="53" spans="1:135" x14ac:dyDescent="0.25">
      <c r="A53" s="245"/>
      <c r="B53" s="26">
        <v>2173</v>
      </c>
      <c r="C53" s="243" t="s">
        <v>536</v>
      </c>
      <c r="D53" s="289">
        <f>+insumos!$H$149*2</f>
        <v>0.0349502662966019</v>
      </c>
      <c r="E53" s="291" t="s">
        <v>547</v>
      </c>
      <c r="F53" s="285"/>
      <c r="G53" s="311"/>
      <c r="H53" s="307" t="s">
        <v>604</v>
      </c>
      <c r="I53" s="308">
        <f>I52*1.03</f>
        <v>0.2576848487071325</v>
      </c>
      <c r="J53" s="269"/>
      <c r="K53" s="245"/>
      <c r="L53" s="311"/>
      <c r="M53" s="310" t="s">
        <v>604</v>
      </c>
      <c r="N53" s="308">
        <f>N52*1.03</f>
        <v>0.26550809713859475</v>
      </c>
      <c r="O53" s="245"/>
      <c r="P53" s="245"/>
      <c r="Q53" s="245"/>
      <c r="R53" s="245"/>
      <c r="S53" s="245"/>
      <c r="T53" s="245"/>
      <c r="U53" s="245"/>
      <c r="V53" s="275" t="s">
        <v>492</v>
      </c>
      <c r="W53" s="276" t="s">
        <v>495</v>
      </c>
      <c r="X53" s="275" t="s">
        <v>467</v>
      </c>
      <c r="Y53" s="245"/>
      <c r="Z53" s="245"/>
      <c r="AA53" s="311"/>
      <c r="AB53" s="307" t="s">
        <v>604</v>
      </c>
      <c r="AC53" s="308">
        <f>AC52*1.03</f>
        <v>0.09726253971820975</v>
      </c>
      <c r="AD53" s="245"/>
      <c r="AE53" s="245"/>
      <c r="AF53" s="26">
        <v>3817</v>
      </c>
      <c r="AG53" s="243" t="s">
        <v>524</v>
      </c>
      <c r="AH53" s="289">
        <f>insumos!$I$103*1.8</f>
        <v>0.02088</v>
      </c>
      <c r="AI53" s="1" t="s">
        <v>538</v>
      </c>
      <c r="AJ53" s="245"/>
      <c r="AK53" s="311"/>
      <c r="AL53" s="307" t="s">
        <v>604</v>
      </c>
      <c r="AM53" s="308">
        <f>AM52*1.03</f>
        <v>0.34092156537565066</v>
      </c>
      <c r="AN53" s="245"/>
      <c r="AO53" s="245"/>
      <c r="AP53" s="292"/>
      <c r="AQ53" s="279" t="s">
        <v>553</v>
      </c>
      <c r="AR53" s="293"/>
      <c r="AS53" s="284"/>
      <c r="AT53" s="245"/>
      <c r="AU53" s="245"/>
      <c r="AV53" s="245"/>
      <c r="AW53" s="245"/>
      <c r="AX53" s="245"/>
      <c r="AY53" s="245"/>
      <c r="AZ53" s="281">
        <v>3636</v>
      </c>
      <c r="BA53" s="282" t="s">
        <v>550</v>
      </c>
      <c r="BB53" s="283">
        <f>+insumos!$H$121</f>
        <v>0.0445</v>
      </c>
      <c r="BC53" s="284"/>
      <c r="BD53" s="285"/>
      <c r="BE53" s="281">
        <v>3636</v>
      </c>
      <c r="BF53" s="282" t="s">
        <v>550</v>
      </c>
      <c r="BG53" s="283">
        <f>+insumos!$H$121</f>
        <v>0.0445</v>
      </c>
      <c r="BH53" s="284"/>
      <c r="BI53" s="245"/>
      <c r="BJ53" s="245"/>
      <c r="BK53" s="245"/>
      <c r="BL53" s="245"/>
      <c r="BM53" s="245"/>
      <c r="BN53" s="245"/>
      <c r="BO53" s="281">
        <v>3636</v>
      </c>
      <c r="BP53" s="282" t="s">
        <v>550</v>
      </c>
      <c r="BQ53" s="283">
        <f>+insumos!$H$121</f>
        <v>0.0445</v>
      </c>
      <c r="BR53" s="284"/>
      <c r="BS53" s="285"/>
      <c r="BT53" s="281">
        <v>3636</v>
      </c>
      <c r="BU53" s="282" t="s">
        <v>550</v>
      </c>
      <c r="BV53" s="283">
        <f>+insumos!$H$121</f>
        <v>0.0445</v>
      </c>
      <c r="BW53" s="284"/>
      <c r="BX53" s="245"/>
      <c r="BY53" s="281">
        <v>3636</v>
      </c>
      <c r="BZ53" s="282" t="s">
        <v>550</v>
      </c>
      <c r="CA53" s="283">
        <f>+insumos!$H$121</f>
        <v>0.0445</v>
      </c>
      <c r="CC53" s="245"/>
      <c r="CD53" s="294"/>
      <c r="CE53" s="279" t="s">
        <v>553</v>
      </c>
      <c r="CF53" s="295"/>
      <c r="CI53" s="281">
        <v>3636</v>
      </c>
      <c r="CJ53" s="282" t="s">
        <v>550</v>
      </c>
      <c r="CK53" s="283">
        <f>+insumos!$H$121</f>
        <v>0.0445</v>
      </c>
      <c r="CN53" s="292"/>
      <c r="CO53" s="279" t="s">
        <v>553</v>
      </c>
      <c r="CP53" s="293"/>
      <c r="CQ53" s="245"/>
      <c r="CS53" s="281">
        <v>6229</v>
      </c>
      <c r="CT53" s="30" t="s">
        <v>588</v>
      </c>
      <c r="CU53" s="283">
        <f>insumos!$I$265*15</f>
        <v>0.3228189997803687</v>
      </c>
      <c r="CV53" s="300" t="s">
        <v>593</v>
      </c>
      <c r="DH53" s="26" t="s">
        <v>596</v>
      </c>
      <c r="DI53" s="30" t="s">
        <v>597</v>
      </c>
      <c r="DJ53" s="283">
        <f>insumos!$H$53*6</f>
        <v>0.9360000000000002</v>
      </c>
      <c r="DK53" s="1" t="s">
        <v>662</v>
      </c>
      <c r="DM53" s="281">
        <v>3636</v>
      </c>
      <c r="DN53" s="282" t="s">
        <v>550</v>
      </c>
      <c r="DO53" s="283">
        <f>+insumos!$H$121</f>
        <v>0.0445</v>
      </c>
      <c r="DP53" s="284"/>
      <c r="DQ53" s="285"/>
      <c r="DR53" s="285"/>
      <c r="DS53" s="285"/>
      <c r="DT53" s="285"/>
      <c r="DU53" s="285"/>
      <c r="DV53" s="285"/>
      <c r="DW53" s="290"/>
      <c r="DX53" s="290"/>
      <c r="DY53" s="290"/>
      <c r="DZ53" s="285"/>
      <c r="EA53" s="285"/>
      <c r="EB53" s="285"/>
      <c r="ED53" s="245"/>
      <c r="EE53" s="245"/>
    </row>
    <row r="54" spans="1:135" x14ac:dyDescent="0.25">
      <c r="A54" s="245"/>
      <c r="B54" s="281">
        <v>3636</v>
      </c>
      <c r="C54" s="282" t="s">
        <v>550</v>
      </c>
      <c r="D54" s="283">
        <f>+insumos!$H$121</f>
        <v>0.0445</v>
      </c>
      <c r="E54" s="284"/>
      <c r="F54" s="285"/>
      <c r="G54" s="285"/>
      <c r="H54" s="285"/>
      <c r="I54" s="285"/>
      <c r="J54" s="245"/>
      <c r="K54" s="245"/>
      <c r="L54" s="245"/>
      <c r="M54" s="245"/>
      <c r="N54" s="245"/>
      <c r="O54" s="245"/>
      <c r="P54" s="245"/>
      <c r="Q54" s="263">
        <v>998012</v>
      </c>
      <c r="R54" s="264" t="s">
        <v>700</v>
      </c>
      <c r="S54" s="267"/>
      <c r="T54" s="245"/>
      <c r="U54" s="245"/>
      <c r="V54" s="278"/>
      <c r="W54" s="279" t="s">
        <v>134</v>
      </c>
      <c r="X54" s="278"/>
      <c r="Y54" s="245"/>
      <c r="Z54" s="245"/>
      <c r="AA54" s="245"/>
      <c r="AB54" s="245"/>
      <c r="AC54" s="245"/>
      <c r="AD54" s="245"/>
      <c r="AE54" s="245"/>
      <c r="AF54" s="26">
        <v>2173</v>
      </c>
      <c r="AG54" s="243" t="s">
        <v>536</v>
      </c>
      <c r="AH54" s="289">
        <f>+insumos!$H$149*2</f>
        <v>0.0349502662966019</v>
      </c>
      <c r="AI54" s="1" t="s">
        <v>547</v>
      </c>
      <c r="AJ54" s="245"/>
      <c r="AK54" s="245"/>
      <c r="AL54" s="245"/>
      <c r="AM54" s="245"/>
      <c r="AN54" s="245"/>
      <c r="AO54" s="245"/>
      <c r="AP54" s="26" t="s">
        <v>701</v>
      </c>
      <c r="AQ54" s="30" t="s">
        <v>702</v>
      </c>
      <c r="AR54" s="283">
        <f>insumos!$H$88*2</f>
        <v>1.978</v>
      </c>
      <c r="AS54" s="300" t="s">
        <v>532</v>
      </c>
      <c r="AT54" s="245"/>
      <c r="AU54" s="245"/>
      <c r="AV54" s="245"/>
      <c r="AW54" s="245"/>
      <c r="AX54" s="245"/>
      <c r="AY54" s="245"/>
      <c r="AZ54" s="292"/>
      <c r="BA54" s="279" t="s">
        <v>553</v>
      </c>
      <c r="BB54" s="293"/>
      <c r="BC54" s="284"/>
      <c r="BD54" s="285"/>
      <c r="BE54" s="292"/>
      <c r="BF54" s="279" t="s">
        <v>553</v>
      </c>
      <c r="BG54" s="293"/>
      <c r="BH54" s="284"/>
      <c r="BI54" s="245"/>
      <c r="BJ54" s="245"/>
      <c r="BK54" s="245"/>
      <c r="BL54" s="245"/>
      <c r="BM54" s="245"/>
      <c r="BN54" s="245"/>
      <c r="BO54" s="292"/>
      <c r="BP54" s="279" t="s">
        <v>553</v>
      </c>
      <c r="BQ54" s="293"/>
      <c r="BR54" s="284"/>
      <c r="BS54" s="285"/>
      <c r="BT54" s="292"/>
      <c r="BU54" s="279" t="s">
        <v>553</v>
      </c>
      <c r="BV54" s="293"/>
      <c r="BW54" s="284"/>
      <c r="BX54" s="245"/>
      <c r="BY54" s="292"/>
      <c r="BZ54" s="279" t="s">
        <v>553</v>
      </c>
      <c r="CA54" s="293"/>
      <c r="CC54" s="245"/>
      <c r="CD54" s="26" t="s">
        <v>566</v>
      </c>
      <c r="CE54" s="30" t="s">
        <v>567</v>
      </c>
      <c r="CF54" s="283">
        <f>insumos!$H$113*10</f>
        <v>0.2700945386217145</v>
      </c>
      <c r="CG54" s="296" t="s">
        <v>563</v>
      </c>
      <c r="CH54" s="296"/>
      <c r="CI54" s="294"/>
      <c r="CJ54" s="279" t="s">
        <v>553</v>
      </c>
      <c r="CK54" s="295"/>
      <c r="CM54" s="296"/>
      <c r="CN54" s="26" t="s">
        <v>566</v>
      </c>
      <c r="CO54" s="30" t="s">
        <v>567</v>
      </c>
      <c r="CP54" s="283">
        <f>insumos!$H$113*6</f>
        <v>0.16205672317302872</v>
      </c>
      <c r="CQ54" s="1" t="s">
        <v>662</v>
      </c>
      <c r="CR54" s="296"/>
      <c r="CS54" s="281">
        <v>6254</v>
      </c>
      <c r="CT54" s="30" t="s">
        <v>600</v>
      </c>
      <c r="CU54" s="283">
        <f>+insumos!$I$208*15</f>
        <v>0.6668617479626745</v>
      </c>
      <c r="CV54" s="300" t="s">
        <v>593</v>
      </c>
      <c r="CW54" s="296"/>
      <c r="CX54" s="296"/>
      <c r="CY54" s="296"/>
      <c r="CZ54" s="296"/>
      <c r="DA54" s="296"/>
      <c r="DB54" s="296"/>
      <c r="DC54" s="296"/>
      <c r="DD54" s="296"/>
      <c r="DE54" s="296"/>
      <c r="DF54" s="296"/>
      <c r="DG54" s="296"/>
      <c r="DH54" s="297"/>
      <c r="DI54" s="298" t="s">
        <v>5</v>
      </c>
      <c r="DJ54" s="299">
        <f>SUM(DJ43:DJ53)</f>
        <v>4.290615537127144</v>
      </c>
      <c r="DK54" s="318"/>
      <c r="DL54" s="296"/>
      <c r="DM54" s="292"/>
      <c r="DN54" s="279" t="s">
        <v>553</v>
      </c>
      <c r="DO54" s="293"/>
      <c r="DP54" s="284"/>
      <c r="DQ54" s="285"/>
      <c r="DR54" s="285"/>
      <c r="DS54" s="285"/>
      <c r="DT54" s="285"/>
      <c r="DU54" s="285"/>
      <c r="DV54" s="285"/>
      <c r="DW54" s="291"/>
      <c r="DX54" s="291"/>
      <c r="DY54" s="291"/>
      <c r="DZ54" s="285"/>
      <c r="EA54" s="285"/>
      <c r="EB54" s="285"/>
      <c r="EC54" s="296"/>
      <c r="ED54" s="245"/>
      <c r="EE54" s="245"/>
    </row>
    <row r="55" spans="1:135" x14ac:dyDescent="0.25">
      <c r="A55" s="245"/>
      <c r="B55" s="292"/>
      <c r="C55" s="279" t="s">
        <v>553</v>
      </c>
      <c r="D55" s="293"/>
      <c r="E55" s="284"/>
      <c r="F55" s="290"/>
      <c r="G55" s="263">
        <v>437030</v>
      </c>
      <c r="H55" s="264" t="s">
        <v>703</v>
      </c>
      <c r="I55" s="267"/>
      <c r="J55" s="269"/>
      <c r="K55" s="245"/>
      <c r="L55" s="263">
        <v>436070</v>
      </c>
      <c r="M55" s="264" t="s">
        <v>704</v>
      </c>
      <c r="N55" s="265"/>
      <c r="O55" s="245"/>
      <c r="P55" s="245"/>
      <c r="Q55" s="275" t="s">
        <v>492</v>
      </c>
      <c r="R55" s="276" t="s">
        <v>495</v>
      </c>
      <c r="S55" s="275" t="s">
        <v>467</v>
      </c>
      <c r="T55" s="245"/>
      <c r="U55" s="245"/>
      <c r="V55" s="281">
        <v>6184</v>
      </c>
      <c r="W55" s="1" t="s">
        <v>502</v>
      </c>
      <c r="X55" s="283">
        <f>insumos!$H$215</f>
        <v>0.6</v>
      </c>
      <c r="Y55" s="245"/>
      <c r="Z55" s="245"/>
      <c r="AA55" s="263">
        <v>991026</v>
      </c>
      <c r="AB55" s="264" t="s">
        <v>705</v>
      </c>
      <c r="AC55" s="267"/>
      <c r="AD55" s="245"/>
      <c r="AE55" s="245"/>
      <c r="AF55" s="281">
        <v>3636</v>
      </c>
      <c r="AG55" s="282" t="s">
        <v>550</v>
      </c>
      <c r="AH55" s="283">
        <f>+insumos!$H$121</f>
        <v>0.0445</v>
      </c>
      <c r="AJ55" s="245"/>
      <c r="AK55" s="263">
        <v>1987139</v>
      </c>
      <c r="AL55" s="264" t="s">
        <v>706</v>
      </c>
      <c r="AM55" s="267"/>
      <c r="AN55" s="245"/>
      <c r="AO55" s="245"/>
      <c r="AP55" s="26" t="s">
        <v>566</v>
      </c>
      <c r="AQ55" s="30" t="s">
        <v>567</v>
      </c>
      <c r="AR55" s="283">
        <f>insumos!$H$113*2</f>
        <v>0.0540189077243429</v>
      </c>
      <c r="AS55" s="300" t="s">
        <v>532</v>
      </c>
      <c r="AT55" s="245"/>
      <c r="AU55" s="245"/>
      <c r="AV55" s="245"/>
      <c r="AW55" s="245"/>
      <c r="AX55" s="245"/>
      <c r="AY55" s="245"/>
      <c r="AZ55" s="281">
        <v>4102</v>
      </c>
      <c r="BA55" s="282" t="s">
        <v>576</v>
      </c>
      <c r="BB55" s="283">
        <f>insumos!$H$115*12</f>
        <v>0.396</v>
      </c>
      <c r="BC55" s="300" t="s">
        <v>568</v>
      </c>
      <c r="BD55" s="291"/>
      <c r="BE55" s="26" t="s">
        <v>566</v>
      </c>
      <c r="BF55" s="30" t="s">
        <v>567</v>
      </c>
      <c r="BG55" s="283">
        <f>insumos!$H$113*20</f>
        <v>0.540189077243429</v>
      </c>
      <c r="BH55" s="300" t="s">
        <v>707</v>
      </c>
      <c r="BI55" s="245"/>
      <c r="BJ55" s="245"/>
      <c r="BK55" s="245"/>
      <c r="BL55" s="245"/>
      <c r="BM55" s="245"/>
      <c r="BN55" s="245"/>
      <c r="BO55" s="281">
        <v>4102</v>
      </c>
      <c r="BP55" s="282" t="s">
        <v>576</v>
      </c>
      <c r="BQ55" s="283">
        <f>insumos!$H$115*12</f>
        <v>0.396</v>
      </c>
      <c r="BR55" s="300" t="s">
        <v>568</v>
      </c>
      <c r="BS55" s="291"/>
      <c r="BT55" s="26" t="s">
        <v>566</v>
      </c>
      <c r="BU55" s="30" t="s">
        <v>567</v>
      </c>
      <c r="BV55" s="283">
        <f>insumos!$H$113*5</f>
        <v>0.13504726931085725</v>
      </c>
      <c r="BW55" s="300" t="s">
        <v>652</v>
      </c>
      <c r="BX55" s="245"/>
      <c r="BY55" s="281">
        <v>6208</v>
      </c>
      <c r="BZ55" s="282" t="s">
        <v>573</v>
      </c>
      <c r="CA55" s="283">
        <f>insumos!$H$188*12</f>
        <v>1.0929882352941176</v>
      </c>
      <c r="CB55" s="300" t="s">
        <v>568</v>
      </c>
      <c r="CC55" s="245"/>
      <c r="CD55" s="281"/>
      <c r="CE55" s="282"/>
      <c r="CF55" s="31"/>
      <c r="CG55" s="296"/>
      <c r="CH55" s="296"/>
      <c r="CI55" s="26" t="s">
        <v>566</v>
      </c>
      <c r="CJ55" s="30" t="s">
        <v>567</v>
      </c>
      <c r="CK55" s="283">
        <f>insumos!$H$113*12</f>
        <v>0.32411344634605743</v>
      </c>
      <c r="CL55" s="300" t="s">
        <v>568</v>
      </c>
      <c r="CM55" s="296"/>
      <c r="CN55" s="26" t="s">
        <v>697</v>
      </c>
      <c r="CO55" s="30" t="s">
        <v>698</v>
      </c>
      <c r="CP55" s="283">
        <f>insumos!$H$24*6</f>
        <v>1.326</v>
      </c>
      <c r="CQ55" s="1" t="s">
        <v>662</v>
      </c>
      <c r="CR55" s="296"/>
      <c r="CS55" s="26" t="s">
        <v>606</v>
      </c>
      <c r="CT55" s="30" t="s">
        <v>607</v>
      </c>
      <c r="CU55" s="283">
        <f>insumos!$H$197*15</f>
        <v>2.1811764705882353</v>
      </c>
      <c r="CV55" s="300" t="s">
        <v>593</v>
      </c>
      <c r="CW55" s="296"/>
      <c r="CX55" s="296"/>
      <c r="CY55" s="296"/>
      <c r="CZ55" s="296"/>
      <c r="DA55" s="296"/>
      <c r="DB55" s="296"/>
      <c r="DC55" s="296"/>
      <c r="DD55" s="296"/>
      <c r="DE55" s="296"/>
      <c r="DF55" s="296"/>
      <c r="DG55" s="296"/>
      <c r="DH55" s="281"/>
      <c r="DI55" s="282" t="s">
        <v>587</v>
      </c>
      <c r="DJ55" s="304">
        <v>14.4</v>
      </c>
      <c r="DK55" s="245"/>
      <c r="DL55" s="296"/>
      <c r="DM55" s="281"/>
      <c r="DN55" s="282"/>
      <c r="DO55" s="283"/>
      <c r="DP55" s="300"/>
      <c r="DQ55" s="291"/>
      <c r="DR55" s="291"/>
      <c r="DS55" s="291"/>
      <c r="DT55" s="291"/>
      <c r="DU55" s="291"/>
      <c r="DV55" s="291"/>
      <c r="DW55" s="285"/>
      <c r="DX55" s="285"/>
      <c r="DY55" s="285"/>
      <c r="DZ55" s="291"/>
      <c r="EA55" s="291"/>
      <c r="EB55" s="291"/>
      <c r="EC55" s="296"/>
      <c r="ED55" s="245"/>
      <c r="EE55" s="245"/>
    </row>
    <row r="56" spans="1:135" x14ac:dyDescent="0.25">
      <c r="A56" s="245"/>
      <c r="B56" s="281">
        <v>6252</v>
      </c>
      <c r="C56" s="282" t="s">
        <v>573</v>
      </c>
      <c r="D56" s="283">
        <f>insumos!H153*8</f>
        <v>0.784</v>
      </c>
      <c r="E56" s="300" t="s">
        <v>561</v>
      </c>
      <c r="F56" s="291"/>
      <c r="G56" s="275" t="s">
        <v>492</v>
      </c>
      <c r="H56" s="276" t="s">
        <v>495</v>
      </c>
      <c r="I56" s="275" t="s">
        <v>467</v>
      </c>
      <c r="J56" s="269"/>
      <c r="K56" s="245"/>
      <c r="L56" s="275" t="s">
        <v>492</v>
      </c>
      <c r="M56" s="277" t="s">
        <v>495</v>
      </c>
      <c r="N56" s="275" t="s">
        <v>467</v>
      </c>
      <c r="O56" s="245"/>
      <c r="P56" s="245"/>
      <c r="Q56" s="278"/>
      <c r="R56" s="279" t="s">
        <v>134</v>
      </c>
      <c r="S56" s="278"/>
      <c r="T56" s="245"/>
      <c r="U56" s="245"/>
      <c r="V56" s="281">
        <v>2037</v>
      </c>
      <c r="W56" s="282" t="s">
        <v>511</v>
      </c>
      <c r="X56" s="283">
        <f>+insumos!$H$268</f>
        <v>0.65</v>
      </c>
      <c r="Y56" s="245"/>
      <c r="Z56" s="245"/>
      <c r="AA56" s="275" t="s">
        <v>492</v>
      </c>
      <c r="AB56" s="276" t="s">
        <v>495</v>
      </c>
      <c r="AC56" s="275" t="s">
        <v>467</v>
      </c>
      <c r="AD56" s="245"/>
      <c r="AE56" s="245"/>
      <c r="AF56" s="294"/>
      <c r="AG56" s="279" t="s">
        <v>553</v>
      </c>
      <c r="AH56" s="295"/>
      <c r="AJ56" s="245"/>
      <c r="AK56" s="275" t="s">
        <v>492</v>
      </c>
      <c r="AL56" s="276" t="s">
        <v>495</v>
      </c>
      <c r="AM56" s="275" t="s">
        <v>467</v>
      </c>
      <c r="AN56" s="245"/>
      <c r="AO56" s="245"/>
      <c r="AP56" s="297"/>
      <c r="AQ56" s="298" t="s">
        <v>5</v>
      </c>
      <c r="AR56" s="299">
        <f>SUM(AR47:AR55)</f>
        <v>4.2323691313274665</v>
      </c>
      <c r="AS56" s="269"/>
      <c r="AT56" s="245"/>
      <c r="AU56" s="245"/>
      <c r="AV56" s="245"/>
      <c r="AW56" s="245"/>
      <c r="AX56" s="245"/>
      <c r="AY56" s="245"/>
      <c r="AZ56" s="281">
        <v>6229</v>
      </c>
      <c r="BA56" s="30" t="s">
        <v>588</v>
      </c>
      <c r="BB56" s="283">
        <f>insumos!$I$265*12</f>
        <v>0.25825519982429496</v>
      </c>
      <c r="BC56" s="300" t="s">
        <v>568</v>
      </c>
      <c r="BD56" s="291"/>
      <c r="BE56" s="281">
        <v>6229</v>
      </c>
      <c r="BF56" s="30" t="s">
        <v>588</v>
      </c>
      <c r="BG56" s="283">
        <f>insumos!$I$265*20</f>
        <v>0.43042533304049163</v>
      </c>
      <c r="BH56" s="300" t="s">
        <v>707</v>
      </c>
      <c r="BI56" s="245"/>
      <c r="BJ56" s="245"/>
      <c r="BK56" s="245"/>
      <c r="BL56" s="245"/>
      <c r="BM56" s="245"/>
      <c r="BN56" s="245"/>
      <c r="BO56" s="26" t="s">
        <v>589</v>
      </c>
      <c r="BP56" s="30" t="s">
        <v>590</v>
      </c>
      <c r="BQ56" s="283">
        <f>insumos!$H$80*12</f>
        <v>2.652</v>
      </c>
      <c r="BR56" s="300" t="s">
        <v>568</v>
      </c>
      <c r="BS56" s="291"/>
      <c r="BT56" s="26" t="s">
        <v>668</v>
      </c>
      <c r="BU56" s="30" t="s">
        <v>669</v>
      </c>
      <c r="BV56" s="283">
        <f>insumos!$H$79*5</f>
        <v>1.07</v>
      </c>
      <c r="BW56" s="300" t="s">
        <v>652</v>
      </c>
      <c r="BX56" s="245"/>
      <c r="BY56" s="281">
        <v>5202</v>
      </c>
      <c r="BZ56" s="282" t="s">
        <v>586</v>
      </c>
      <c r="CA56" s="283">
        <f>insumos!$H$114*12</f>
        <v>0.3161371428571429</v>
      </c>
      <c r="CB56" s="300" t="s">
        <v>568</v>
      </c>
      <c r="CC56" s="245"/>
      <c r="CD56" s="281">
        <v>6229</v>
      </c>
      <c r="CE56" s="30" t="s">
        <v>588</v>
      </c>
      <c r="CF56" s="31">
        <f>insumos!$I$265*12</f>
        <v>0.25825519982429496</v>
      </c>
      <c r="CG56" s="296" t="s">
        <v>568</v>
      </c>
      <c r="CH56" s="296"/>
      <c r="CI56" s="281">
        <v>6229</v>
      </c>
      <c r="CJ56" s="30" t="s">
        <v>588</v>
      </c>
      <c r="CK56" s="283">
        <f>insumos!$I$265*12</f>
        <v>0.25825519982429496</v>
      </c>
      <c r="CL56" s="300" t="s">
        <v>568</v>
      </c>
      <c r="CM56" s="296"/>
      <c r="CN56" s="26" t="s">
        <v>708</v>
      </c>
      <c r="CO56" s="30" t="s">
        <v>709</v>
      </c>
      <c r="CP56" s="31">
        <f>insumos!$H$189*6</f>
        <v>0.4813090909090909</v>
      </c>
      <c r="CQ56" s="1" t="s">
        <v>662</v>
      </c>
      <c r="CR56" s="296"/>
      <c r="CS56" s="297"/>
      <c r="CT56" s="298" t="s">
        <v>5</v>
      </c>
      <c r="CU56" s="299">
        <f>SUM(CU44:CU55)</f>
        <v>6.399915996824561</v>
      </c>
      <c r="CV56" s="300"/>
      <c r="CW56" s="296"/>
      <c r="CX56" s="296"/>
      <c r="CY56" s="296"/>
      <c r="CZ56" s="296"/>
      <c r="DA56" s="296"/>
      <c r="DB56" s="296"/>
      <c r="DC56" s="296"/>
      <c r="DD56" s="296"/>
      <c r="DE56" s="296"/>
      <c r="DF56" s="296"/>
      <c r="DG56" s="296"/>
      <c r="DH56" s="281"/>
      <c r="DI56" s="307" t="s">
        <v>599</v>
      </c>
      <c r="DJ56" s="308">
        <f>+DJ54/DJ55</f>
        <v>0.2979594123004961</v>
      </c>
      <c r="DK56" s="245"/>
      <c r="DL56" s="296"/>
      <c r="DM56" s="281">
        <v>6229</v>
      </c>
      <c r="DN56" s="30" t="s">
        <v>588</v>
      </c>
      <c r="DO56" s="283">
        <f>insumos!$I$265*12</f>
        <v>0.25825519982429496</v>
      </c>
      <c r="DP56" s="300" t="s">
        <v>568</v>
      </c>
      <c r="DQ56" s="291"/>
      <c r="DR56" s="291"/>
      <c r="DS56" s="291"/>
      <c r="DT56" s="291"/>
      <c r="DU56" s="291"/>
      <c r="DV56" s="291"/>
      <c r="DW56" s="285"/>
      <c r="DX56" s="285"/>
      <c r="DY56" s="285"/>
      <c r="DZ56" s="291"/>
      <c r="EA56" s="291"/>
      <c r="EB56" s="291"/>
      <c r="EC56" s="296"/>
      <c r="ED56" s="245"/>
      <c r="EE56" s="245"/>
    </row>
    <row r="57" spans="1:135" x14ac:dyDescent="0.25">
      <c r="A57" s="245"/>
      <c r="B57" s="281">
        <v>5202</v>
      </c>
      <c r="C57" s="282" t="s">
        <v>586</v>
      </c>
      <c r="D57" s="283">
        <f>insumos!$H$114*8</f>
        <v>0.21075809523809524</v>
      </c>
      <c r="E57" s="300" t="s">
        <v>561</v>
      </c>
      <c r="F57" s="285"/>
      <c r="G57" s="278"/>
      <c r="H57" s="279" t="s">
        <v>134</v>
      </c>
      <c r="I57" s="278"/>
      <c r="J57" s="269"/>
      <c r="K57" s="245"/>
      <c r="L57" s="278"/>
      <c r="M57" s="280" t="s">
        <v>134</v>
      </c>
      <c r="N57" s="278"/>
      <c r="O57" s="245"/>
      <c r="P57" s="245"/>
      <c r="Q57" s="281">
        <v>6184</v>
      </c>
      <c r="R57" s="1" t="s">
        <v>502</v>
      </c>
      <c r="S57" s="283">
        <f>insumos!$H$215</f>
        <v>0.6</v>
      </c>
      <c r="T57" s="245"/>
      <c r="U57" s="245"/>
      <c r="V57" s="281">
        <v>4542</v>
      </c>
      <c r="W57" s="282" t="s">
        <v>527</v>
      </c>
      <c r="X57" s="283">
        <f>insumos!$I$35</f>
        <v>0.022058823529411763</v>
      </c>
      <c r="Y57" s="245"/>
      <c r="Z57" s="245"/>
      <c r="AA57" s="278"/>
      <c r="AB57" s="279" t="s">
        <v>134</v>
      </c>
      <c r="AC57" s="278"/>
      <c r="AD57" s="245"/>
      <c r="AE57" s="245"/>
      <c r="AF57" s="26" t="s">
        <v>710</v>
      </c>
      <c r="AG57" s="30" t="s">
        <v>711</v>
      </c>
      <c r="AH57" s="31">
        <f>insumos!$H$162*10</f>
        <v>0.8725925925925926</v>
      </c>
      <c r="AI57" s="296" t="s">
        <v>563</v>
      </c>
      <c r="AJ57" s="245"/>
      <c r="AK57" s="278"/>
      <c r="AL57" s="279" t="s">
        <v>134</v>
      </c>
      <c r="AM57" s="278"/>
      <c r="AN57" s="245"/>
      <c r="AO57" s="245"/>
      <c r="AP57" s="281"/>
      <c r="AQ57" s="282" t="s">
        <v>587</v>
      </c>
      <c r="AR57" s="281">
        <v>14.4</v>
      </c>
      <c r="AS57" s="269"/>
      <c r="AT57" s="245"/>
      <c r="AU57" s="245"/>
      <c r="AV57" s="245"/>
      <c r="AW57" s="245"/>
      <c r="AX57" s="245"/>
      <c r="AY57" s="245"/>
      <c r="AZ57" s="281">
        <v>6254</v>
      </c>
      <c r="BA57" s="30" t="s">
        <v>600</v>
      </c>
      <c r="BB57" s="283">
        <f>+insumos!$I$208*12</f>
        <v>0.5334893983701396</v>
      </c>
      <c r="BC57" s="300" t="s">
        <v>568</v>
      </c>
      <c r="BD57" s="291"/>
      <c r="BE57" s="281">
        <v>6254</v>
      </c>
      <c r="BF57" s="30" t="s">
        <v>600</v>
      </c>
      <c r="BG57" s="283">
        <f>+insumos!$I$208*20</f>
        <v>0.889148997283566</v>
      </c>
      <c r="BH57" s="300" t="s">
        <v>707</v>
      </c>
      <c r="BI57" s="245"/>
      <c r="BJ57" s="245"/>
      <c r="BK57" s="245"/>
      <c r="BL57" s="245"/>
      <c r="BM57" s="245"/>
      <c r="BN57" s="245"/>
      <c r="BO57" s="281"/>
      <c r="BP57" s="30"/>
      <c r="BQ57" s="283"/>
      <c r="BR57" s="300"/>
      <c r="BS57" s="291"/>
      <c r="BT57" s="281"/>
      <c r="BU57" s="30"/>
      <c r="BV57" s="283"/>
      <c r="BW57" s="300"/>
      <c r="BX57" s="245"/>
      <c r="BY57" s="281">
        <v>6229</v>
      </c>
      <c r="BZ57" s="30" t="s">
        <v>588</v>
      </c>
      <c r="CA57" s="283">
        <f>insumos!$I$265*12</f>
        <v>0.25825519982429496</v>
      </c>
      <c r="CB57" s="300" t="s">
        <v>568</v>
      </c>
      <c r="CC57" s="245"/>
      <c r="CD57" s="281">
        <v>6254</v>
      </c>
      <c r="CE57" s="30" t="s">
        <v>600</v>
      </c>
      <c r="CF57" s="31">
        <f>+insumos!$I$208*12</f>
        <v>0.5334893983701396</v>
      </c>
      <c r="CG57" s="296" t="s">
        <v>568</v>
      </c>
      <c r="CH57" s="296"/>
      <c r="CI57" s="281">
        <v>6254</v>
      </c>
      <c r="CJ57" s="30" t="s">
        <v>600</v>
      </c>
      <c r="CK57" s="283">
        <f>+insumos!$I$208*12</f>
        <v>0.5334893983701396</v>
      </c>
      <c r="CL57" s="300" t="s">
        <v>568</v>
      </c>
      <c r="CM57" s="296"/>
      <c r="CN57" s="281">
        <v>5202</v>
      </c>
      <c r="CO57" s="282" t="s">
        <v>586</v>
      </c>
      <c r="CP57" s="31">
        <f>insumos!$H$114*6</f>
        <v>0.15806857142857145</v>
      </c>
      <c r="CQ57" s="1" t="s">
        <v>662</v>
      </c>
      <c r="CR57" s="296"/>
      <c r="CS57" s="281"/>
      <c r="CT57" s="282" t="s">
        <v>587</v>
      </c>
      <c r="CU57" s="304">
        <f>214.82/39</f>
        <v>5.508205128205128</v>
      </c>
      <c r="CV57" s="269"/>
      <c r="CW57" s="296"/>
      <c r="CX57" s="296"/>
      <c r="CY57" s="296"/>
      <c r="CZ57" s="296"/>
      <c r="DA57" s="296"/>
      <c r="DB57" s="296"/>
      <c r="DC57" s="296"/>
      <c r="DD57" s="296"/>
      <c r="DE57" s="296"/>
      <c r="DF57" s="296"/>
      <c r="DG57" s="296"/>
      <c r="DH57" s="311"/>
      <c r="DI57" s="307" t="s">
        <v>604</v>
      </c>
      <c r="DJ57" s="308">
        <f>DJ56*1.03</f>
        <v>0.306898194669511</v>
      </c>
      <c r="DK57" s="296"/>
      <c r="DL57" s="296"/>
      <c r="DM57" s="281">
        <v>6254</v>
      </c>
      <c r="DN57" s="30" t="s">
        <v>600</v>
      </c>
      <c r="DO57" s="283">
        <f>+insumos!$I$208*12</f>
        <v>0.5334893983701396</v>
      </c>
      <c r="DP57" s="300" t="s">
        <v>568</v>
      </c>
      <c r="DQ57" s="291"/>
      <c r="DR57" s="291"/>
      <c r="DS57" s="291"/>
      <c r="DT57" s="291"/>
      <c r="DU57" s="291"/>
      <c r="DV57" s="291"/>
      <c r="DW57" s="291"/>
      <c r="DX57" s="291"/>
      <c r="DY57" s="291"/>
      <c r="DZ57" s="291"/>
      <c r="EA57" s="291"/>
      <c r="EB57" s="291"/>
      <c r="EC57" s="296"/>
      <c r="ED57" s="245"/>
      <c r="EE57" s="245"/>
    </row>
    <row r="58" spans="1:135" x14ac:dyDescent="0.25">
      <c r="A58" s="245"/>
      <c r="B58" s="281">
        <v>6229</v>
      </c>
      <c r="C58" s="30" t="s">
        <v>588</v>
      </c>
      <c r="D58" s="283">
        <f>insumos!$I$265*8</f>
        <v>0.17217013321619665</v>
      </c>
      <c r="E58" s="300" t="s">
        <v>561</v>
      </c>
      <c r="F58" s="285"/>
      <c r="G58" s="281">
        <v>5524</v>
      </c>
      <c r="H58" s="1" t="s">
        <v>501</v>
      </c>
      <c r="I58" s="283">
        <f>insumos!$H$217</f>
        <v>0.8950000000000001</v>
      </c>
      <c r="J58" s="284"/>
      <c r="K58" s="285"/>
      <c r="L58" s="281">
        <v>5524</v>
      </c>
      <c r="M58" s="1" t="s">
        <v>501</v>
      </c>
      <c r="N58" s="283">
        <f>insumos!$H$217</f>
        <v>0.8950000000000001</v>
      </c>
      <c r="O58" s="285"/>
      <c r="P58" s="245"/>
      <c r="Q58" s="281">
        <v>2037</v>
      </c>
      <c r="R58" s="282" t="s">
        <v>511</v>
      </c>
      <c r="S58" s="283">
        <f>+insumos!$H$268</f>
        <v>0.65</v>
      </c>
      <c r="T58" s="245"/>
      <c r="U58" s="245"/>
      <c r="V58" s="26">
        <v>3817</v>
      </c>
      <c r="W58" s="243" t="s">
        <v>524</v>
      </c>
      <c r="X58" s="289">
        <f>insumos!$I$103*1.8</f>
        <v>0.02088</v>
      </c>
      <c r="Y58" s="285" t="s">
        <v>538</v>
      </c>
      <c r="Z58" s="245"/>
      <c r="AA58" s="281">
        <v>6184</v>
      </c>
      <c r="AB58" s="1" t="s">
        <v>502</v>
      </c>
      <c r="AC58" s="283">
        <f>insumos!$H$215</f>
        <v>0.6</v>
      </c>
      <c r="AD58" s="245"/>
      <c r="AE58" s="245"/>
      <c r="AF58" s="281">
        <v>5138</v>
      </c>
      <c r="AG58" s="282" t="s">
        <v>564</v>
      </c>
      <c r="AH58" s="283">
        <f>insumos!H113*10</f>
        <v>0.2700945386217145</v>
      </c>
      <c r="AI58" s="284" t="s">
        <v>563</v>
      </c>
      <c r="AJ58" s="245"/>
      <c r="AK58" s="281">
        <v>5524</v>
      </c>
      <c r="AL58" s="282" t="s">
        <v>512</v>
      </c>
      <c r="AM58" s="283">
        <f>insumos!$H$217</f>
        <v>0.8950000000000001</v>
      </c>
      <c r="AN58" s="245"/>
      <c r="AO58" s="245"/>
      <c r="AP58" s="281"/>
      <c r="AQ58" s="307" t="s">
        <v>599</v>
      </c>
      <c r="AR58" s="308">
        <f>+AR56/AR57</f>
        <v>0.29391452300885185</v>
      </c>
      <c r="AS58" s="269"/>
      <c r="AT58" s="245"/>
      <c r="AU58" s="245"/>
      <c r="AV58" s="245"/>
      <c r="AW58" s="245"/>
      <c r="AX58" s="245"/>
      <c r="AY58" s="245"/>
      <c r="AZ58" s="26" t="s">
        <v>606</v>
      </c>
      <c r="BA58" s="30" t="s">
        <v>607</v>
      </c>
      <c r="BB58" s="283">
        <f>insumos!$H$197*12</f>
        <v>1.7449411764705882</v>
      </c>
      <c r="BC58" s="300" t="s">
        <v>568</v>
      </c>
      <c r="BD58" s="291"/>
      <c r="BE58" s="26" t="s">
        <v>608</v>
      </c>
      <c r="BF58" s="30" t="s">
        <v>609</v>
      </c>
      <c r="BG58" s="283">
        <f>insumos!$H$176*20</f>
        <v>1.08</v>
      </c>
      <c r="BH58" s="300" t="s">
        <v>707</v>
      </c>
      <c r="BI58" s="245"/>
      <c r="BJ58" s="245"/>
      <c r="BK58" s="245"/>
      <c r="BL58" s="245"/>
      <c r="BM58" s="245"/>
      <c r="BN58" s="245"/>
      <c r="BO58" s="26"/>
      <c r="BP58" s="30"/>
      <c r="BQ58" s="283"/>
      <c r="BR58" s="300"/>
      <c r="BS58" s="291"/>
      <c r="BT58" s="26"/>
      <c r="BU58" s="30"/>
      <c r="BV58" s="283"/>
      <c r="BW58" s="300"/>
      <c r="BX58" s="245"/>
      <c r="BY58" s="281">
        <v>6254</v>
      </c>
      <c r="BZ58" s="30" t="s">
        <v>600</v>
      </c>
      <c r="CA58" s="283">
        <f>+insumos!$I$208*12</f>
        <v>0.5334893983701396</v>
      </c>
      <c r="CB58" s="300" t="s">
        <v>568</v>
      </c>
      <c r="CC58" s="245"/>
      <c r="CD58" s="297"/>
      <c r="CE58" s="298" t="s">
        <v>5</v>
      </c>
      <c r="CF58" s="299">
        <f>SUM(CF46:CF57)</f>
        <v>4.0577863970114825</v>
      </c>
      <c r="CI58" s="26" t="s">
        <v>675</v>
      </c>
      <c r="CJ58" s="30" t="s">
        <v>676</v>
      </c>
      <c r="CK58" s="283">
        <f>insumos!$H$194*12</f>
        <v>2.4000000000000004</v>
      </c>
      <c r="CL58" s="300" t="s">
        <v>568</v>
      </c>
      <c r="CN58" s="297"/>
      <c r="CO58" s="298" t="s">
        <v>5</v>
      </c>
      <c r="CP58" s="299">
        <f>SUM(CP46:CP57)</f>
        <v>4.593464247392718</v>
      </c>
      <c r="CQ58" s="245"/>
      <c r="CS58" s="281"/>
      <c r="CT58" s="307" t="s">
        <v>599</v>
      </c>
      <c r="CU58" s="308">
        <f>+CU56/CU57</f>
        <v>1.1618877379953352</v>
      </c>
      <c r="CV58" s="269"/>
      <c r="DH58" s="296"/>
      <c r="DI58" s="296"/>
      <c r="DJ58" s="296"/>
      <c r="DK58" s="296"/>
      <c r="DM58" s="281">
        <v>5868</v>
      </c>
      <c r="DN58" s="30" t="s">
        <v>605</v>
      </c>
      <c r="DO58" s="283">
        <f>insumos!$I$243*12</f>
        <v>0.22752</v>
      </c>
      <c r="DP58" s="300" t="s">
        <v>568</v>
      </c>
      <c r="DQ58" s="291"/>
      <c r="DR58" s="291"/>
      <c r="DS58" s="291"/>
      <c r="DT58" s="291"/>
      <c r="DU58" s="291"/>
      <c r="DV58" s="291"/>
      <c r="DW58" s="291"/>
      <c r="DX58" s="291"/>
      <c r="DY58" s="291"/>
      <c r="DZ58" s="291"/>
      <c r="EA58" s="291"/>
      <c r="EB58" s="291"/>
      <c r="ED58" s="245"/>
      <c r="EE58" s="245"/>
    </row>
    <row r="59" spans="1:135" x14ac:dyDescent="0.25">
      <c r="A59" s="245"/>
      <c r="B59" s="281">
        <v>6254</v>
      </c>
      <c r="C59" s="30" t="s">
        <v>600</v>
      </c>
      <c r="D59" s="283">
        <f>+insumos!$I$208*8</f>
        <v>0.3556595989134264</v>
      </c>
      <c r="E59" s="300" t="s">
        <v>561</v>
      </c>
      <c r="F59" s="291"/>
      <c r="G59" s="281">
        <v>5523</v>
      </c>
      <c r="H59" s="282" t="s">
        <v>508</v>
      </c>
      <c r="I59" s="283">
        <f>+insumos!$H$285</f>
        <v>1.1829611337771098</v>
      </c>
      <c r="J59" s="284"/>
      <c r="K59" s="285"/>
      <c r="L59" s="26" t="s">
        <v>513</v>
      </c>
      <c r="M59" s="30" t="s">
        <v>514</v>
      </c>
      <c r="N59" s="283">
        <f>+insumos!$H$266</f>
        <v>1.1500000000000001</v>
      </c>
      <c r="O59" s="285"/>
      <c r="P59" s="245"/>
      <c r="Q59" s="281">
        <v>4542</v>
      </c>
      <c r="R59" s="282" t="s">
        <v>527</v>
      </c>
      <c r="S59" s="283">
        <f>insumos!$I$35</f>
        <v>0.022058823529411763</v>
      </c>
      <c r="U59" s="245"/>
      <c r="V59" s="26">
        <v>2173</v>
      </c>
      <c r="W59" s="243" t="s">
        <v>536</v>
      </c>
      <c r="X59" s="289">
        <f>+insumos!$H$149*2</f>
        <v>0.0349502662966019</v>
      </c>
      <c r="Y59" s="1" t="s">
        <v>547</v>
      </c>
      <c r="Z59" s="245"/>
      <c r="AA59" s="281">
        <v>2037</v>
      </c>
      <c r="AB59" s="282" t="s">
        <v>511</v>
      </c>
      <c r="AC59" s="283">
        <f>+insumos!$H$268</f>
        <v>0.65</v>
      </c>
      <c r="AD59" s="245"/>
      <c r="AE59" s="245"/>
      <c r="AF59" s="26" t="s">
        <v>712</v>
      </c>
      <c r="AG59" s="1" t="s">
        <v>713</v>
      </c>
      <c r="AH59" s="31">
        <f>insumos!$H$241*10</f>
        <v>1.85</v>
      </c>
      <c r="AI59" s="296" t="s">
        <v>563</v>
      </c>
      <c r="AJ59" s="245"/>
      <c r="AK59" s="281">
        <v>5523</v>
      </c>
      <c r="AL59" s="282" t="s">
        <v>508</v>
      </c>
      <c r="AM59" s="283">
        <f>+insumos!$H$285</f>
        <v>1.1829611337771098</v>
      </c>
      <c r="AN59" s="245"/>
      <c r="AO59" s="245"/>
      <c r="AP59" s="311"/>
      <c r="AQ59" s="307" t="s">
        <v>604</v>
      </c>
      <c r="AR59" s="308">
        <f>AR58*1.03</f>
        <v>0.3027319586991174</v>
      </c>
      <c r="AS59" s="269"/>
      <c r="AT59" s="245"/>
      <c r="AU59" s="245"/>
      <c r="AV59" s="245"/>
      <c r="AW59" s="245"/>
      <c r="AX59" s="245"/>
      <c r="AY59" s="245"/>
      <c r="AZ59" s="297"/>
      <c r="BA59" s="298" t="s">
        <v>5</v>
      </c>
      <c r="BB59" s="299">
        <f>SUM(BB47:BB58)</f>
        <v>5.5666028663127305</v>
      </c>
      <c r="BC59" s="300"/>
      <c r="BD59" s="291"/>
      <c r="BE59" s="297"/>
      <c r="BF59" s="298" t="s">
        <v>5</v>
      </c>
      <c r="BG59" s="299">
        <f>SUM(BG47:BG58)</f>
        <v>6.249245883176082</v>
      </c>
      <c r="BH59" s="300"/>
      <c r="BI59" s="245"/>
      <c r="BJ59" s="245"/>
      <c r="BK59" s="245"/>
      <c r="BL59" s="245"/>
      <c r="BM59" s="245"/>
      <c r="BN59" s="245"/>
      <c r="BO59" s="297"/>
      <c r="BP59" s="298" t="s">
        <v>5</v>
      </c>
      <c r="BQ59" s="299">
        <f>SUM(BQ47:BQ58)</f>
        <v>5.111917454908702</v>
      </c>
      <c r="BR59" s="300"/>
      <c r="BS59" s="291"/>
      <c r="BT59" s="297"/>
      <c r="BU59" s="298" t="s">
        <v>5</v>
      </c>
      <c r="BV59" s="299">
        <f>SUM(BV47:BV58)</f>
        <v>3.7917766463342115</v>
      </c>
      <c r="BW59" s="300"/>
      <c r="BX59" s="245"/>
      <c r="BY59" s="281">
        <v>5868</v>
      </c>
      <c r="BZ59" s="30" t="s">
        <v>605</v>
      </c>
      <c r="CA59" s="283">
        <f>insumos!$I$243*12</f>
        <v>0.22752</v>
      </c>
      <c r="CB59" s="300" t="s">
        <v>568</v>
      </c>
      <c r="CC59" s="245"/>
      <c r="CD59" s="281"/>
      <c r="CE59" s="282" t="s">
        <v>587</v>
      </c>
      <c r="CF59" s="304">
        <f>941.37/101</f>
        <v>9.32049504950495</v>
      </c>
      <c r="CG59" s="245"/>
      <c r="CH59" s="245"/>
      <c r="CI59" s="297"/>
      <c r="CJ59" s="298" t="s">
        <v>5</v>
      </c>
      <c r="CK59" s="299">
        <f>SUM(CK47:CK58)</f>
        <v>6.633052206150585</v>
      </c>
      <c r="CM59" s="245"/>
      <c r="CN59" s="281"/>
      <c r="CO59" s="282" t="s">
        <v>587</v>
      </c>
      <c r="CP59" s="304">
        <f>747.23/56</f>
        <v>13.343392857142858</v>
      </c>
      <c r="CQ59" s="245"/>
      <c r="CR59" s="245"/>
      <c r="CS59" s="311"/>
      <c r="CT59" s="307" t="s">
        <v>604</v>
      </c>
      <c r="CU59" s="308">
        <f>CU58*1.03</f>
        <v>1.1967443701351952</v>
      </c>
      <c r="CV59" s="269"/>
      <c r="CW59" s="245"/>
      <c r="CX59" s="245"/>
      <c r="CY59" s="245"/>
      <c r="CZ59" s="245"/>
      <c r="DA59" s="245"/>
      <c r="DB59" s="245"/>
      <c r="DC59" s="245"/>
      <c r="DD59" s="245"/>
      <c r="DE59" s="245"/>
      <c r="DF59" s="245"/>
      <c r="DG59" s="245"/>
      <c r="DH59" s="263">
        <v>5516660</v>
      </c>
      <c r="DI59" s="264" t="s">
        <v>714</v>
      </c>
      <c r="DJ59" s="267"/>
      <c r="DK59" s="245"/>
      <c r="DL59" s="245"/>
      <c r="DM59" s="297"/>
      <c r="DN59" s="298" t="s">
        <v>5</v>
      </c>
      <c r="DO59" s="299">
        <f>SUM(DO47:DO58)</f>
        <v>3.792399936275115</v>
      </c>
      <c r="DP59" s="300"/>
      <c r="DQ59" s="291"/>
      <c r="DR59" s="291"/>
      <c r="DS59" s="291"/>
      <c r="DT59" s="291"/>
      <c r="DU59" s="291"/>
      <c r="DV59" s="291"/>
      <c r="DW59" s="291"/>
      <c r="DX59" s="291"/>
      <c r="DY59" s="291"/>
      <c r="DZ59" s="291"/>
      <c r="EA59" s="291"/>
      <c r="EB59" s="291"/>
      <c r="EC59" s="245"/>
      <c r="ED59" s="245"/>
      <c r="EE59" s="245"/>
    </row>
    <row r="60" spans="1:135" x14ac:dyDescent="0.25">
      <c r="A60" s="245"/>
      <c r="B60" s="281">
        <v>5868</v>
      </c>
      <c r="C60" s="30" t="s">
        <v>605</v>
      </c>
      <c r="D60" s="283">
        <f>insumos!$I$243*8</f>
        <v>0.15168</v>
      </c>
      <c r="E60" s="300" t="s">
        <v>561</v>
      </c>
      <c r="F60" s="291"/>
      <c r="G60" s="281">
        <v>4542</v>
      </c>
      <c r="H60" s="282" t="s">
        <v>527</v>
      </c>
      <c r="I60" s="283">
        <f>insumos!$I$35</f>
        <v>0.022058823529411763</v>
      </c>
      <c r="J60" s="284"/>
      <c r="K60" s="285"/>
      <c r="L60" s="281">
        <v>4542</v>
      </c>
      <c r="M60" s="286" t="s">
        <v>527</v>
      </c>
      <c r="N60" s="283">
        <f>insumos!$I$35</f>
        <v>0.022058823529411763</v>
      </c>
      <c r="O60" s="285"/>
      <c r="P60" s="245"/>
      <c r="Q60" s="26">
        <v>3817</v>
      </c>
      <c r="R60" s="243" t="s">
        <v>524</v>
      </c>
      <c r="S60" s="289">
        <f>insumos!$I$103*1.8</f>
        <v>0.02088</v>
      </c>
      <c r="T60" s="285" t="s">
        <v>538</v>
      </c>
      <c r="U60" s="245"/>
      <c r="V60" s="281">
        <v>3636</v>
      </c>
      <c r="W60" s="282" t="s">
        <v>550</v>
      </c>
      <c r="X60" s="283">
        <f>+insumos!$H$121</f>
        <v>0.0445</v>
      </c>
      <c r="Y60" s="245"/>
      <c r="Z60" s="245"/>
      <c r="AA60" s="281">
        <v>4542</v>
      </c>
      <c r="AB60" s="282" t="s">
        <v>527</v>
      </c>
      <c r="AC60" s="283">
        <f>insumos!$I$35</f>
        <v>0.022058823529411763</v>
      </c>
      <c r="AD60" s="245"/>
      <c r="AE60" s="245"/>
      <c r="AF60" s="297"/>
      <c r="AG60" s="298" t="s">
        <v>5</v>
      </c>
      <c r="AH60" s="299">
        <f>SUM(AH49:AH59)</f>
        <v>5.085905070981681</v>
      </c>
      <c r="AJ60" s="245"/>
      <c r="AK60" s="281">
        <v>4542</v>
      </c>
      <c r="AL60" s="282" t="s">
        <v>527</v>
      </c>
      <c r="AM60" s="283">
        <f>insumos!$I$35</f>
        <v>0.022058823529411763</v>
      </c>
      <c r="AN60" s="245"/>
      <c r="AO60" s="245"/>
      <c r="AP60" s="245"/>
      <c r="AQ60" s="245"/>
      <c r="AR60" s="245"/>
      <c r="AS60" s="245"/>
      <c r="AT60" s="245"/>
      <c r="AU60" s="245"/>
      <c r="AV60" s="245"/>
      <c r="AW60" s="245"/>
      <c r="AX60" s="245"/>
      <c r="AY60" s="245"/>
      <c r="AZ60" s="281"/>
      <c r="BA60" s="282" t="s">
        <v>587</v>
      </c>
      <c r="BB60" s="304">
        <f>1225.36/236</f>
        <v>5.192203389830508</v>
      </c>
      <c r="BC60" s="269"/>
      <c r="BD60" s="245"/>
      <c r="BE60" s="281"/>
      <c r="BF60" s="282" t="s">
        <v>587</v>
      </c>
      <c r="BG60" s="304">
        <f>4080.73/363</f>
        <v>11.24168044077135</v>
      </c>
      <c r="BH60" s="269"/>
      <c r="BI60" s="245"/>
      <c r="BJ60" s="245"/>
      <c r="BK60" s="245"/>
      <c r="BL60" s="245"/>
      <c r="BM60" s="245"/>
      <c r="BN60" s="245"/>
      <c r="BO60" s="281"/>
      <c r="BP60" s="282" t="s">
        <v>587</v>
      </c>
      <c r="BQ60" s="304">
        <f>276.05/23</f>
        <v>12.002173913043478</v>
      </c>
      <c r="BR60" s="269"/>
      <c r="BS60" s="245"/>
      <c r="BT60" s="281"/>
      <c r="BU60" s="282" t="s">
        <v>587</v>
      </c>
      <c r="BV60" s="304">
        <f>24984.64/2175</f>
        <v>11.4871908045977</v>
      </c>
      <c r="BW60" s="269"/>
      <c r="BX60" s="245"/>
      <c r="BY60" s="297"/>
      <c r="BZ60" s="298" t="s">
        <v>5</v>
      </c>
      <c r="CA60" s="299">
        <f>SUM(CA47:CA59)</f>
        <v>5.1987398366878255</v>
      </c>
      <c r="CB60" s="245"/>
      <c r="CC60" s="245"/>
      <c r="CD60" s="281"/>
      <c r="CE60" s="307" t="s">
        <v>599</v>
      </c>
      <c r="CF60" s="308">
        <f>+CF58/CF59</f>
        <v>0.43536168148353965</v>
      </c>
      <c r="CG60" s="245"/>
      <c r="CH60" s="245"/>
      <c r="CI60" s="281"/>
      <c r="CJ60" s="282" t="s">
        <v>587</v>
      </c>
      <c r="CK60" s="304">
        <v>5.65</v>
      </c>
      <c r="CL60" s="245"/>
      <c r="CM60" s="245"/>
      <c r="CN60" s="281"/>
      <c r="CO60" s="307" t="s">
        <v>599</v>
      </c>
      <c r="CP60" s="308">
        <f>+CP58/CP59</f>
        <v>0.34425009415306157</v>
      </c>
      <c r="CQ60" s="245"/>
      <c r="CR60" s="245"/>
      <c r="CS60" s="245"/>
      <c r="CT60" s="245"/>
      <c r="CU60" s="245"/>
      <c r="CV60" s="245"/>
      <c r="CW60" s="245"/>
      <c r="CX60" s="245"/>
      <c r="CY60" s="245"/>
      <c r="CZ60" s="245"/>
      <c r="DA60" s="245"/>
      <c r="DB60" s="245"/>
      <c r="DC60" s="245"/>
      <c r="DD60" s="245"/>
      <c r="DE60" s="245"/>
      <c r="DF60" s="245"/>
      <c r="DG60" s="245"/>
      <c r="DH60" s="275" t="s">
        <v>492</v>
      </c>
      <c r="DI60" s="276" t="s">
        <v>495</v>
      </c>
      <c r="DJ60" s="275" t="s">
        <v>467</v>
      </c>
      <c r="DK60" s="245"/>
      <c r="DL60" s="245"/>
      <c r="DM60" s="281"/>
      <c r="DN60" s="282" t="s">
        <v>587</v>
      </c>
      <c r="DO60" s="304">
        <v>7.35</v>
      </c>
      <c r="DP60" s="269"/>
      <c r="DQ60" s="245"/>
      <c r="DR60" s="245"/>
      <c r="DS60" s="245"/>
      <c r="DT60" s="245"/>
      <c r="DU60" s="245"/>
      <c r="DV60" s="245"/>
      <c r="DW60" s="291"/>
      <c r="DX60" s="291"/>
      <c r="DY60" s="291"/>
      <c r="DZ60" s="245"/>
      <c r="EA60" s="245"/>
      <c r="EB60" s="245"/>
      <c r="EC60" s="245"/>
      <c r="ED60" s="245"/>
      <c r="EE60" s="245"/>
    </row>
    <row r="61" spans="1:135" x14ac:dyDescent="0.25">
      <c r="A61" s="245"/>
      <c r="B61" s="297"/>
      <c r="C61" s="298" t="s">
        <v>5</v>
      </c>
      <c r="D61" s="299">
        <f>SUM(D48:D60)</f>
        <v>4.326703650307071</v>
      </c>
      <c r="E61" s="269"/>
      <c r="F61" s="291"/>
      <c r="G61" s="26">
        <v>3817</v>
      </c>
      <c r="H61" s="243" t="s">
        <v>524</v>
      </c>
      <c r="I61" s="289">
        <f>insumos!$I$103*1.8</f>
        <v>0.02088</v>
      </c>
      <c r="J61" s="290" t="s">
        <v>537</v>
      </c>
      <c r="K61" s="290"/>
      <c r="L61" s="26">
        <v>3817</v>
      </c>
      <c r="M61" s="288" t="s">
        <v>524</v>
      </c>
      <c r="N61" s="289">
        <f>insumos!$I$103*1.8</f>
        <v>0.02088</v>
      </c>
      <c r="O61" s="290" t="s">
        <v>537</v>
      </c>
      <c r="P61" s="245"/>
      <c r="Q61" s="26">
        <v>2173</v>
      </c>
      <c r="R61" s="243" t="s">
        <v>536</v>
      </c>
      <c r="S61" s="289">
        <f>+insumos!$H$149*2</f>
        <v>0.0349502662966019</v>
      </c>
      <c r="T61" s="1" t="s">
        <v>547</v>
      </c>
      <c r="U61" s="245"/>
      <c r="V61" s="292"/>
      <c r="W61" s="279" t="s">
        <v>553</v>
      </c>
      <c r="X61" s="293"/>
      <c r="Y61" s="245"/>
      <c r="Z61" s="245"/>
      <c r="AA61" s="26">
        <v>3817</v>
      </c>
      <c r="AB61" s="243" t="s">
        <v>524</v>
      </c>
      <c r="AC61" s="289">
        <f>insumos!$I$103*1.8</f>
        <v>0.02088</v>
      </c>
      <c r="AD61" s="285" t="s">
        <v>538</v>
      </c>
      <c r="AE61" s="245"/>
      <c r="AF61" s="281"/>
      <c r="AG61" s="282" t="s">
        <v>587</v>
      </c>
      <c r="AH61" s="304">
        <v>15.93</v>
      </c>
      <c r="AJ61" s="245"/>
      <c r="AK61" s="26">
        <v>3817</v>
      </c>
      <c r="AL61" s="243" t="s">
        <v>524</v>
      </c>
      <c r="AM61" s="289">
        <f>insumos!$I$103*1.8</f>
        <v>0.02088</v>
      </c>
      <c r="AN61" s="285" t="s">
        <v>538</v>
      </c>
      <c r="AO61" s="245"/>
      <c r="AP61" s="259">
        <v>3673199</v>
      </c>
      <c r="AQ61" s="260" t="s">
        <v>715</v>
      </c>
      <c r="AR61" s="259"/>
      <c r="AS61" s="272"/>
      <c r="AT61" s="245"/>
      <c r="AU61" s="245"/>
      <c r="AV61" s="245"/>
      <c r="AW61" s="245"/>
      <c r="AX61" s="245"/>
      <c r="AY61" s="245"/>
      <c r="AZ61" s="281"/>
      <c r="BA61" s="307" t="s">
        <v>599</v>
      </c>
      <c r="BB61" s="308">
        <f>+BB59/BB60</f>
        <v>1.0721080143384838</v>
      </c>
      <c r="BC61" s="269"/>
      <c r="BD61" s="245"/>
      <c r="BE61" s="281"/>
      <c r="BF61" s="307" t="s">
        <v>599</v>
      </c>
      <c r="BG61" s="308">
        <f>+BG59/BG60</f>
        <v>0.5558996198211883</v>
      </c>
      <c r="BH61" s="269"/>
      <c r="BI61" s="245"/>
      <c r="BJ61" s="245"/>
      <c r="BK61" s="245"/>
      <c r="BL61" s="245"/>
      <c r="BM61" s="245"/>
      <c r="BN61" s="245"/>
      <c r="BO61" s="281"/>
      <c r="BP61" s="307" t="s">
        <v>599</v>
      </c>
      <c r="BQ61" s="308">
        <f>+BQ59/BQ60</f>
        <v>0.42591596255352343</v>
      </c>
      <c r="BR61" s="269"/>
      <c r="BS61" s="245"/>
      <c r="BT61" s="281"/>
      <c r="BU61" s="307" t="s">
        <v>599</v>
      </c>
      <c r="BV61" s="308">
        <f>+BV59/BV60</f>
        <v>0.33008737391360893</v>
      </c>
      <c r="BW61" s="269"/>
      <c r="BX61" s="245"/>
      <c r="BY61" s="281"/>
      <c r="BZ61" s="282" t="s">
        <v>587</v>
      </c>
      <c r="CA61" s="304">
        <f>2990.37/204</f>
        <v>14.658676470588235</v>
      </c>
      <c r="CB61" s="269"/>
      <c r="CC61" s="245"/>
      <c r="CD61" s="311"/>
      <c r="CE61" s="307" t="s">
        <v>604</v>
      </c>
      <c r="CF61" s="308">
        <f>CF60*1.03</f>
        <v>0.4484225319280459</v>
      </c>
      <c r="CI61" s="281"/>
      <c r="CJ61" s="307" t="s">
        <v>599</v>
      </c>
      <c r="CK61" s="308">
        <f>+CK59/CK60</f>
        <v>1.173991540911608</v>
      </c>
      <c r="CL61" s="269"/>
      <c r="CN61" s="311"/>
      <c r="CO61" s="307" t="s">
        <v>604</v>
      </c>
      <c r="CP61" s="308">
        <f>CP60*1.03</f>
        <v>0.35457759697765345</v>
      </c>
      <c r="CS61" s="259">
        <v>6172005</v>
      </c>
      <c r="CT61" s="260" t="s">
        <v>716</v>
      </c>
      <c r="CU61" s="259"/>
      <c r="CV61" s="272"/>
      <c r="DH61" s="278"/>
      <c r="DI61" s="279" t="s">
        <v>134</v>
      </c>
      <c r="DJ61" s="278"/>
      <c r="DK61" s="245"/>
      <c r="DM61" s="281"/>
      <c r="DN61" s="307" t="s">
        <v>599</v>
      </c>
      <c r="DO61" s="308">
        <f>+DO59/DO60</f>
        <v>0.5159727804455939</v>
      </c>
      <c r="DP61" s="269"/>
      <c r="DQ61" s="245"/>
      <c r="DR61" s="245"/>
      <c r="DS61" s="245"/>
      <c r="DT61" s="245"/>
      <c r="DU61" s="245"/>
      <c r="DV61" s="245"/>
      <c r="DW61" s="291"/>
      <c r="DX61" s="291"/>
      <c r="DY61" s="291"/>
      <c r="DZ61" s="245"/>
      <c r="EA61" s="245"/>
      <c r="EB61" s="245"/>
      <c r="ED61" s="245"/>
      <c r="EE61" s="245"/>
    </row>
    <row r="62" spans="1:135" x14ac:dyDescent="0.25">
      <c r="A62" s="245"/>
      <c r="B62" s="281"/>
      <c r="C62" s="282" t="s">
        <v>587</v>
      </c>
      <c r="D62" s="281">
        <v>8</v>
      </c>
      <c r="E62" s="269"/>
      <c r="F62" s="291"/>
      <c r="G62" s="26">
        <v>2173</v>
      </c>
      <c r="H62" s="243" t="s">
        <v>536</v>
      </c>
      <c r="I62" s="289">
        <f>+insumos!$H$149*2</f>
        <v>0.0349502662966019</v>
      </c>
      <c r="J62" s="291" t="s">
        <v>547</v>
      </c>
      <c r="K62" s="291"/>
      <c r="L62" s="26">
        <v>2173</v>
      </c>
      <c r="M62" s="288" t="s">
        <v>536</v>
      </c>
      <c r="N62" s="289">
        <f>+insumos!$H$149*2</f>
        <v>0.0349502662966019</v>
      </c>
      <c r="O62" s="291" t="s">
        <v>547</v>
      </c>
      <c r="P62" s="245"/>
      <c r="Q62" s="281">
        <v>3636</v>
      </c>
      <c r="R62" s="282" t="s">
        <v>550</v>
      </c>
      <c r="S62" s="283">
        <f>+insumos!$H$121</f>
        <v>0.0445</v>
      </c>
      <c r="T62" s="245"/>
      <c r="U62" s="245"/>
      <c r="V62" s="281">
        <v>4745</v>
      </c>
      <c r="W62" s="282" t="s">
        <v>560</v>
      </c>
      <c r="X62" s="283">
        <f>insumos!$H$93*6</f>
        <v>0.684</v>
      </c>
      <c r="Y62" s="245" t="s">
        <v>662</v>
      </c>
      <c r="Z62" s="245"/>
      <c r="AA62" s="26">
        <v>2173</v>
      </c>
      <c r="AB62" s="243" t="s">
        <v>536</v>
      </c>
      <c r="AC62" s="289">
        <f>+insumos!$H$149*2</f>
        <v>0.0349502662966019</v>
      </c>
      <c r="AD62" s="1" t="s">
        <v>547</v>
      </c>
      <c r="AE62" s="245"/>
      <c r="AF62" s="281"/>
      <c r="AG62" s="307" t="s">
        <v>599</v>
      </c>
      <c r="AH62" s="308">
        <f>+AH60/AH61</f>
        <v>0.3192658550522085</v>
      </c>
      <c r="AI62" s="245"/>
      <c r="AJ62" s="245"/>
      <c r="AK62" s="26">
        <v>2173</v>
      </c>
      <c r="AL62" s="243" t="s">
        <v>536</v>
      </c>
      <c r="AM62" s="289">
        <f>+insumos!$H$149*2</f>
        <v>0.0349502662966019</v>
      </c>
      <c r="AN62" s="1" t="s">
        <v>547</v>
      </c>
      <c r="AO62" s="245"/>
      <c r="AP62" s="275" t="s">
        <v>492</v>
      </c>
      <c r="AQ62" s="276" t="s">
        <v>495</v>
      </c>
      <c r="AR62" s="275" t="s">
        <v>467</v>
      </c>
      <c r="AS62" s="245"/>
      <c r="AT62" s="245"/>
      <c r="AU62" s="245"/>
      <c r="AV62" s="245"/>
      <c r="AW62" s="245"/>
      <c r="AX62" s="245"/>
      <c r="AY62" s="245"/>
      <c r="AZ62" s="311"/>
      <c r="BA62" s="307" t="s">
        <v>604</v>
      </c>
      <c r="BB62" s="308">
        <f>BB61*1.03</f>
        <v>1.1042712547686384</v>
      </c>
      <c r="BC62" s="269"/>
      <c r="BD62" s="245"/>
      <c r="BE62" s="311"/>
      <c r="BF62" s="307" t="s">
        <v>604</v>
      </c>
      <c r="BG62" s="308">
        <f>BG61*1.03</f>
        <v>0.5725766084158239</v>
      </c>
      <c r="BH62" s="269"/>
      <c r="BI62" s="245"/>
      <c r="BJ62" s="245"/>
      <c r="BK62" s="245"/>
      <c r="BL62" s="245"/>
      <c r="BM62" s="245"/>
      <c r="BN62" s="245"/>
      <c r="BO62" s="311"/>
      <c r="BP62" s="307" t="s">
        <v>604</v>
      </c>
      <c r="BQ62" s="308">
        <f>BQ61*1.03</f>
        <v>0.43869344143012917</v>
      </c>
      <c r="BR62" s="269"/>
      <c r="BS62" s="245"/>
      <c r="BT62" s="311"/>
      <c r="BU62" s="307" t="s">
        <v>604</v>
      </c>
      <c r="BV62" s="308">
        <f>BV61*1.03</f>
        <v>0.3399899951310172</v>
      </c>
      <c r="BW62" s="269"/>
      <c r="BX62" s="245"/>
      <c r="BY62" s="281"/>
      <c r="BZ62" s="307" t="s">
        <v>599</v>
      </c>
      <c r="CA62" s="308">
        <f>+CA60/CA61</f>
        <v>0.35465274420366594</v>
      </c>
      <c r="CB62" s="269"/>
      <c r="CC62" s="245"/>
      <c r="CD62" s="245"/>
      <c r="CE62" s="245"/>
      <c r="CF62" s="245"/>
      <c r="CG62" s="245"/>
      <c r="CH62" s="245"/>
      <c r="CI62" s="311"/>
      <c r="CJ62" s="307" t="s">
        <v>604</v>
      </c>
      <c r="CK62" s="308">
        <f>CK61*1.03</f>
        <v>1.2092112871389562</v>
      </c>
      <c r="CL62" s="269"/>
      <c r="CM62" s="245"/>
      <c r="CN62" s="245"/>
      <c r="CO62" s="245"/>
      <c r="CP62" s="245"/>
      <c r="CQ62" s="245"/>
      <c r="CR62" s="245"/>
      <c r="CS62" s="275" t="s">
        <v>492</v>
      </c>
      <c r="CT62" s="276" t="s">
        <v>495</v>
      </c>
      <c r="CU62" s="275" t="s">
        <v>467</v>
      </c>
      <c r="CV62" s="245"/>
      <c r="CW62" s="245"/>
      <c r="CX62" s="245"/>
      <c r="CY62" s="245"/>
      <c r="CZ62" s="245"/>
      <c r="DA62" s="245"/>
      <c r="DB62" s="245"/>
      <c r="DC62" s="245"/>
      <c r="DD62" s="245"/>
      <c r="DE62" s="245"/>
      <c r="DF62" s="245"/>
      <c r="DG62" s="245"/>
      <c r="DH62" s="281">
        <v>3741</v>
      </c>
      <c r="DI62" s="282" t="s">
        <v>500</v>
      </c>
      <c r="DJ62" s="283">
        <f>insumos!$G$213</f>
        <v>0.8355871886120997</v>
      </c>
      <c r="DK62" s="245"/>
      <c r="DL62" s="245"/>
      <c r="DM62" s="311"/>
      <c r="DN62" s="307" t="s">
        <v>604</v>
      </c>
      <c r="DO62" s="308">
        <f>DO61*1.03</f>
        <v>0.5314519638589618</v>
      </c>
      <c r="DP62" s="269"/>
      <c r="DQ62" s="245"/>
      <c r="DR62" s="245"/>
      <c r="DS62" s="245"/>
      <c r="DT62" s="245"/>
      <c r="DU62" s="245"/>
      <c r="DV62" s="245"/>
      <c r="DW62" s="245"/>
      <c r="DX62" s="245"/>
      <c r="DY62" s="245"/>
      <c r="DZ62" s="245"/>
      <c r="EA62" s="245"/>
      <c r="EB62" s="245"/>
      <c r="EC62" s="245"/>
      <c r="ED62" s="245"/>
      <c r="EE62" s="245"/>
    </row>
    <row r="63" spans="1:135" x14ac:dyDescent="0.25">
      <c r="A63" s="245"/>
      <c r="B63" s="281"/>
      <c r="C63" s="307" t="s">
        <v>599</v>
      </c>
      <c r="D63" s="308">
        <f>+D61/D62</f>
        <v>0.5408379562883838</v>
      </c>
      <c r="E63" s="269"/>
      <c r="F63" s="291"/>
      <c r="G63" s="281">
        <v>3636</v>
      </c>
      <c r="H63" s="282" t="s">
        <v>550</v>
      </c>
      <c r="I63" s="283">
        <f>+insumos!$H$121</f>
        <v>0.0445</v>
      </c>
      <c r="J63" s="284"/>
      <c r="K63" s="285"/>
      <c r="L63" s="281">
        <v>3636</v>
      </c>
      <c r="M63" s="286" t="s">
        <v>550</v>
      </c>
      <c r="N63" s="283">
        <f>+insumos!$H$121</f>
        <v>0.0445</v>
      </c>
      <c r="O63" s="285"/>
      <c r="P63" s="245"/>
      <c r="Q63" s="292"/>
      <c r="R63" s="279" t="s">
        <v>553</v>
      </c>
      <c r="S63" s="293"/>
      <c r="T63" s="1"/>
      <c r="U63" s="245"/>
      <c r="V63" s="297"/>
      <c r="W63" s="298" t="s">
        <v>5</v>
      </c>
      <c r="X63" s="299">
        <f>SUM(X55:X62)</f>
        <v>2.0563890898260135</v>
      </c>
      <c r="Y63" s="245"/>
      <c r="Z63" s="245"/>
      <c r="AA63" s="281">
        <v>3636</v>
      </c>
      <c r="AB63" s="282" t="s">
        <v>550</v>
      </c>
      <c r="AC63" s="283">
        <f>+insumos!$H$121</f>
        <v>0.0445</v>
      </c>
      <c r="AD63" s="245"/>
      <c r="AE63" s="245"/>
      <c r="AF63" s="311"/>
      <c r="AG63" s="307" t="s">
        <v>604</v>
      </c>
      <c r="AH63" s="308">
        <f>AH62*1.03</f>
        <v>0.32884383070377476</v>
      </c>
      <c r="AI63" s="245"/>
      <c r="AJ63" s="245"/>
      <c r="AK63" s="281">
        <v>3636</v>
      </c>
      <c r="AL63" s="282" t="s">
        <v>550</v>
      </c>
      <c r="AM63" s="283">
        <f>+insumos!$H$121</f>
        <v>0.0445</v>
      </c>
      <c r="AN63" s="245"/>
      <c r="AO63" s="245"/>
      <c r="AP63" s="278"/>
      <c r="AQ63" s="279" t="s">
        <v>134</v>
      </c>
      <c r="AR63" s="278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  <c r="BE63" s="245"/>
      <c r="BF63" s="245"/>
      <c r="BG63" s="245"/>
      <c r="BH63" s="245"/>
      <c r="BI63" s="245"/>
      <c r="BJ63" s="245"/>
      <c r="BK63" s="245"/>
      <c r="BL63" s="245"/>
      <c r="BM63" s="245"/>
      <c r="BN63" s="245"/>
      <c r="BO63" s="245"/>
      <c r="BP63" s="245"/>
      <c r="BQ63" s="245"/>
      <c r="BR63" s="245"/>
      <c r="BS63" s="245"/>
      <c r="BT63" s="245"/>
      <c r="BU63" s="245"/>
      <c r="BV63" s="245"/>
      <c r="BW63" s="245"/>
      <c r="BX63" s="245"/>
      <c r="BY63" s="311"/>
      <c r="BZ63" s="307" t="s">
        <v>604</v>
      </c>
      <c r="CA63" s="308">
        <f>CA62*1.03</f>
        <v>0.36529232652977595</v>
      </c>
      <c r="CB63" s="245"/>
      <c r="CC63" s="245"/>
      <c r="CD63" s="263">
        <v>4545006</v>
      </c>
      <c r="CE63" s="264" t="s">
        <v>717</v>
      </c>
      <c r="CF63" s="267"/>
      <c r="CG63" s="269"/>
      <c r="CH63" s="245"/>
      <c r="CI63" s="245"/>
      <c r="CJ63" s="245"/>
      <c r="CK63" s="245"/>
      <c r="CL63" s="245"/>
      <c r="CM63" s="245"/>
      <c r="CN63" s="259">
        <v>4865160</v>
      </c>
      <c r="CO63" s="260" t="s">
        <v>485</v>
      </c>
      <c r="CP63" s="259"/>
      <c r="CQ63" s="272"/>
      <c r="CR63" s="245"/>
      <c r="CS63" s="278"/>
      <c r="CT63" s="279" t="s">
        <v>134</v>
      </c>
      <c r="CU63" s="278"/>
      <c r="CV63" s="245"/>
      <c r="CW63" s="245"/>
      <c r="CX63" s="245"/>
      <c r="CY63" s="245"/>
      <c r="CZ63" s="245"/>
      <c r="DA63" s="245"/>
      <c r="DB63" s="245"/>
      <c r="DC63" s="245"/>
      <c r="DD63" s="245"/>
      <c r="DE63" s="245"/>
      <c r="DF63" s="245"/>
      <c r="DG63" s="245"/>
      <c r="DH63" s="26" t="s">
        <v>521</v>
      </c>
      <c r="DI63" s="30" t="s">
        <v>522</v>
      </c>
      <c r="DJ63" s="31">
        <f>+insumos!$H$274</f>
        <v>1.6</v>
      </c>
      <c r="DK63" s="245"/>
      <c r="DL63" s="245"/>
      <c r="DM63" s="245"/>
      <c r="DN63" s="245"/>
      <c r="DO63" s="245"/>
      <c r="DP63" s="245"/>
      <c r="DQ63" s="245"/>
      <c r="DR63" s="245"/>
      <c r="DS63" s="245"/>
      <c r="DT63" s="245"/>
      <c r="DU63" s="245"/>
      <c r="DV63" s="245"/>
      <c r="DW63" s="245"/>
      <c r="DX63" s="245"/>
      <c r="DY63" s="245"/>
      <c r="DZ63" s="245"/>
      <c r="EA63" s="245"/>
      <c r="EB63" s="245"/>
      <c r="EC63" s="245"/>
      <c r="ED63" s="245"/>
      <c r="EE63" s="245"/>
    </row>
    <row r="64" spans="1:135" x14ac:dyDescent="0.25">
      <c r="A64" s="245"/>
      <c r="B64" s="311"/>
      <c r="C64" s="307" t="s">
        <v>604</v>
      </c>
      <c r="D64" s="308">
        <f>D63*1.03</f>
        <v>0.5570630949770353</v>
      </c>
      <c r="E64" s="269"/>
      <c r="F64" s="245"/>
      <c r="G64" s="292"/>
      <c r="H64" s="279" t="s">
        <v>553</v>
      </c>
      <c r="I64" s="293"/>
      <c r="J64" s="284"/>
      <c r="K64" s="285"/>
      <c r="L64" s="292"/>
      <c r="M64" s="280" t="s">
        <v>553</v>
      </c>
      <c r="N64" s="293"/>
      <c r="O64" s="285"/>
      <c r="P64" s="245"/>
      <c r="Q64" s="319"/>
      <c r="R64" s="320" t="s">
        <v>718</v>
      </c>
      <c r="S64" s="321"/>
      <c r="T64" s="245"/>
      <c r="U64" s="245"/>
      <c r="V64" s="281"/>
      <c r="W64" s="282" t="s">
        <v>587</v>
      </c>
      <c r="X64" s="281">
        <v>21.5</v>
      </c>
      <c r="Y64" s="245"/>
      <c r="Z64" s="245"/>
      <c r="AA64" s="292"/>
      <c r="AB64" s="279" t="s">
        <v>553</v>
      </c>
      <c r="AC64" s="293"/>
      <c r="AD64" s="245"/>
      <c r="AE64" s="245"/>
      <c r="AF64" s="245"/>
      <c r="AG64" s="245"/>
      <c r="AH64" s="245"/>
      <c r="AI64" s="245"/>
      <c r="AJ64" s="245"/>
      <c r="AK64" s="292"/>
      <c r="AL64" s="279" t="s">
        <v>553</v>
      </c>
      <c r="AM64" s="293"/>
      <c r="AN64" s="245"/>
      <c r="AO64" s="245"/>
      <c r="AP64" s="281">
        <v>3741</v>
      </c>
      <c r="AQ64" s="282" t="s">
        <v>500</v>
      </c>
      <c r="AR64" s="31">
        <f>insumos!$G$213</f>
        <v>0.8355871886120997</v>
      </c>
      <c r="AS64" s="245"/>
      <c r="AT64" s="245"/>
      <c r="AU64" s="245"/>
      <c r="AV64" s="245"/>
      <c r="AW64" s="245"/>
      <c r="AX64" s="245"/>
      <c r="AY64" s="245"/>
      <c r="AZ64" s="263">
        <v>441070</v>
      </c>
      <c r="BA64" s="264" t="s">
        <v>719</v>
      </c>
      <c r="BB64" s="267"/>
      <c r="BC64" s="269"/>
      <c r="BD64" s="245"/>
      <c r="BE64" s="263">
        <v>442832</v>
      </c>
      <c r="BF64" s="264" t="s">
        <v>720</v>
      </c>
      <c r="BG64" s="267"/>
      <c r="BH64" s="269"/>
      <c r="BI64" s="245"/>
      <c r="BJ64" s="245"/>
      <c r="BK64" s="245"/>
      <c r="BL64" s="245"/>
      <c r="BM64" s="245"/>
      <c r="BN64" s="245"/>
      <c r="BO64" s="263">
        <v>3516139</v>
      </c>
      <c r="BP64" s="264" t="s">
        <v>721</v>
      </c>
      <c r="BQ64" s="267"/>
      <c r="BR64" s="269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75" t="s">
        <v>492</v>
      </c>
      <c r="CE64" s="276" t="s">
        <v>495</v>
      </c>
      <c r="CF64" s="275" t="s">
        <v>467</v>
      </c>
      <c r="CG64" s="269"/>
      <c r="CH64" s="245"/>
      <c r="CI64" s="263">
        <v>4546070</v>
      </c>
      <c r="CJ64" s="264" t="s">
        <v>722</v>
      </c>
      <c r="CK64" s="267"/>
      <c r="CL64" s="269"/>
      <c r="CM64" s="245"/>
      <c r="CN64" s="275" t="s">
        <v>492</v>
      </c>
      <c r="CO64" s="276" t="s">
        <v>495</v>
      </c>
      <c r="CP64" s="275" t="s">
        <v>467</v>
      </c>
      <c r="CQ64" s="245"/>
      <c r="CR64" s="245"/>
      <c r="CS64" s="281">
        <v>6184</v>
      </c>
      <c r="CT64" s="1" t="s">
        <v>502</v>
      </c>
      <c r="CU64" s="283">
        <f>insumos!$H$215</f>
        <v>0.6</v>
      </c>
      <c r="CV64" s="245"/>
      <c r="CW64" s="245"/>
      <c r="CX64" s="245"/>
      <c r="CY64" s="245"/>
      <c r="CZ64" s="245"/>
      <c r="DA64" s="245"/>
      <c r="DB64" s="245"/>
      <c r="DC64" s="245"/>
      <c r="DD64" s="245"/>
      <c r="DE64" s="245"/>
      <c r="DF64" s="245"/>
      <c r="DG64" s="245"/>
      <c r="DH64" s="281">
        <v>4986</v>
      </c>
      <c r="DI64" s="30" t="s">
        <v>530</v>
      </c>
      <c r="DJ64" s="283">
        <f>insumos!$H$255*2</f>
        <v>0.3799997578260041</v>
      </c>
      <c r="DK64" s="284" t="s">
        <v>723</v>
      </c>
      <c r="DL64" s="245"/>
      <c r="DM64" s="263">
        <v>1993931</v>
      </c>
      <c r="DN64" s="264" t="s">
        <v>724</v>
      </c>
      <c r="DO64" s="267"/>
      <c r="DP64" s="269"/>
      <c r="DQ64" s="245"/>
      <c r="DR64" s="245"/>
      <c r="DS64" s="245"/>
      <c r="DT64" s="245"/>
      <c r="DU64" s="245"/>
      <c r="DV64" s="245"/>
      <c r="DW64" s="245"/>
      <c r="DX64" s="245"/>
      <c r="DY64" s="245"/>
      <c r="DZ64" s="245"/>
      <c r="EA64" s="245"/>
      <c r="EB64" s="245"/>
      <c r="EC64" s="245"/>
      <c r="ED64" s="245"/>
      <c r="EE64" s="245"/>
    </row>
    <row r="65" spans="1:135" x14ac:dyDescent="0.25">
      <c r="A65" s="245"/>
      <c r="F65" s="245"/>
      <c r="G65" s="26">
        <v>6292</v>
      </c>
      <c r="H65" s="30" t="s">
        <v>725</v>
      </c>
      <c r="I65" s="283">
        <f>insumos!$H$54*12</f>
        <v>2.6519999999999997</v>
      </c>
      <c r="J65" s="300" t="s">
        <v>568</v>
      </c>
      <c r="K65" s="291"/>
      <c r="L65" s="281">
        <v>4741</v>
      </c>
      <c r="M65" s="282" t="s">
        <v>562</v>
      </c>
      <c r="N65" s="283">
        <f>insumos!$H$90*25</f>
        <v>7.700000000000001</v>
      </c>
      <c r="O65" s="291" t="s">
        <v>726</v>
      </c>
      <c r="P65" s="245"/>
      <c r="Q65" s="297"/>
      <c r="R65" s="298" t="s">
        <v>5</v>
      </c>
      <c r="S65" s="299">
        <f>SUM(S57:S64)</f>
        <v>1.3723890898260136</v>
      </c>
      <c r="T65" s="245"/>
      <c r="U65" s="245"/>
      <c r="V65" s="281"/>
      <c r="W65" s="307" t="s">
        <v>599</v>
      </c>
      <c r="X65" s="308">
        <f>+X63/X64</f>
        <v>0.09564600417795412</v>
      </c>
      <c r="Y65" s="245"/>
      <c r="Z65" s="245"/>
      <c r="AA65" s="26" t="s">
        <v>653</v>
      </c>
      <c r="AB65" s="30" t="s">
        <v>654</v>
      </c>
      <c r="AC65" s="283">
        <f>insumos!$H$224*5</f>
        <v>0.5</v>
      </c>
      <c r="AD65" s="1" t="s">
        <v>652</v>
      </c>
      <c r="AE65" s="245"/>
      <c r="AF65" s="245"/>
      <c r="AG65" s="245"/>
      <c r="AH65" s="245"/>
      <c r="AI65" s="245"/>
      <c r="AJ65" s="245"/>
      <c r="AK65" s="26" t="s">
        <v>566</v>
      </c>
      <c r="AL65" s="30" t="s">
        <v>567</v>
      </c>
      <c r="AM65" s="283">
        <f>insumos!$H$113*3</f>
        <v>0.08102836158651436</v>
      </c>
      <c r="AN65" s="1" t="s">
        <v>526</v>
      </c>
      <c r="AO65" s="245"/>
      <c r="AP65" s="281">
        <v>3759</v>
      </c>
      <c r="AQ65" s="1" t="s">
        <v>507</v>
      </c>
      <c r="AR65" s="31">
        <f>+insumos!$G$284</f>
        <v>1.1352416613292604</v>
      </c>
      <c r="AS65" s="245"/>
      <c r="AT65" s="245"/>
      <c r="AU65" s="245"/>
      <c r="AV65" s="245"/>
      <c r="AW65" s="245"/>
      <c r="AX65" s="245"/>
      <c r="AY65" s="245"/>
      <c r="AZ65" s="275" t="s">
        <v>492</v>
      </c>
      <c r="BA65" s="276" t="s">
        <v>495</v>
      </c>
      <c r="BB65" s="275" t="s">
        <v>467</v>
      </c>
      <c r="BC65" s="269"/>
      <c r="BD65" s="245"/>
      <c r="BE65" s="275" t="s">
        <v>492</v>
      </c>
      <c r="BF65" s="276" t="s">
        <v>495</v>
      </c>
      <c r="BG65" s="275" t="s">
        <v>467</v>
      </c>
      <c r="BH65" s="269"/>
      <c r="BI65" s="245"/>
      <c r="BJ65" s="245"/>
      <c r="BK65" s="245"/>
      <c r="BL65" s="245"/>
      <c r="BM65" s="245"/>
      <c r="BN65" s="245"/>
      <c r="BO65" s="275" t="s">
        <v>492</v>
      </c>
      <c r="BP65" s="276" t="s">
        <v>495</v>
      </c>
      <c r="BQ65" s="275" t="s">
        <v>467</v>
      </c>
      <c r="BR65" s="269"/>
      <c r="BS65" s="245"/>
      <c r="BT65" s="245"/>
      <c r="BU65" s="245"/>
      <c r="BV65" s="245"/>
      <c r="BW65" s="245"/>
      <c r="BX65" s="245"/>
      <c r="BY65" s="263">
        <v>4543011</v>
      </c>
      <c r="BZ65" s="264" t="s">
        <v>727</v>
      </c>
      <c r="CA65" s="267"/>
      <c r="CB65" s="269"/>
      <c r="CC65" s="245"/>
      <c r="CD65" s="278"/>
      <c r="CE65" s="279" t="s">
        <v>134</v>
      </c>
      <c r="CF65" s="278"/>
      <c r="CG65" s="269"/>
      <c r="CH65" s="245"/>
      <c r="CI65" s="275" t="s">
        <v>492</v>
      </c>
      <c r="CJ65" s="276" t="s">
        <v>495</v>
      </c>
      <c r="CK65" s="275" t="s">
        <v>467</v>
      </c>
      <c r="CL65" s="269"/>
      <c r="CM65" s="245"/>
      <c r="CN65" s="278"/>
      <c r="CO65" s="279" t="s">
        <v>134</v>
      </c>
      <c r="CP65" s="278"/>
      <c r="CQ65" s="245"/>
      <c r="CR65" s="245"/>
      <c r="CS65" s="281">
        <v>5523</v>
      </c>
      <c r="CT65" s="286" t="s">
        <v>508</v>
      </c>
      <c r="CU65" s="283">
        <f>+insumos!$H$285</f>
        <v>1.1829611337771098</v>
      </c>
      <c r="CV65" s="245"/>
      <c r="CW65" s="245"/>
      <c r="CX65" s="245"/>
      <c r="CY65" s="245"/>
      <c r="CZ65" s="245"/>
      <c r="DA65" s="245"/>
      <c r="DB65" s="245"/>
      <c r="DC65" s="245"/>
      <c r="DD65" s="245"/>
      <c r="DE65" s="245"/>
      <c r="DF65" s="245"/>
      <c r="DG65" s="245"/>
      <c r="DH65" s="281">
        <v>4541</v>
      </c>
      <c r="DI65" s="282" t="s">
        <v>528</v>
      </c>
      <c r="DJ65" s="283">
        <f>insumos!$H$43</f>
        <v>0.022058823529411766</v>
      </c>
      <c r="DK65" s="285" t="s">
        <v>538</v>
      </c>
      <c r="DL65" s="245"/>
      <c r="DM65" s="275" t="s">
        <v>492</v>
      </c>
      <c r="DN65" s="276" t="s">
        <v>495</v>
      </c>
      <c r="DO65" s="275" t="s">
        <v>467</v>
      </c>
      <c r="DP65" s="269"/>
      <c r="DQ65" s="245"/>
      <c r="DR65" s="245"/>
      <c r="DS65" s="245"/>
      <c r="DT65" s="245"/>
      <c r="DU65" s="245"/>
      <c r="DV65" s="245"/>
      <c r="DW65" s="245"/>
      <c r="DX65" s="245"/>
      <c r="DY65" s="245"/>
      <c r="DZ65" s="245"/>
      <c r="EA65" s="245"/>
      <c r="EB65" s="245"/>
      <c r="EC65" s="245"/>
      <c r="ED65" s="245"/>
      <c r="EE65" s="245"/>
    </row>
    <row r="66" spans="1:135" x14ac:dyDescent="0.25">
      <c r="A66" s="245"/>
      <c r="B66" s="259">
        <v>439024</v>
      </c>
      <c r="C66" s="260" t="s">
        <v>617</v>
      </c>
      <c r="D66" s="259">
        <v>590</v>
      </c>
      <c r="E66" s="266">
        <f>D66/E2</f>
        <v>14.654744162940885</v>
      </c>
      <c r="F66" s="245"/>
      <c r="G66" s="26" t="s">
        <v>566</v>
      </c>
      <c r="H66" s="30" t="s">
        <v>567</v>
      </c>
      <c r="I66" s="283">
        <f>insumos!$H$113*12</f>
        <v>0.32411344634605743</v>
      </c>
      <c r="J66" s="300" t="s">
        <v>568</v>
      </c>
      <c r="K66" s="291"/>
      <c r="L66" s="26" t="s">
        <v>566</v>
      </c>
      <c r="M66" s="30" t="s">
        <v>567</v>
      </c>
      <c r="N66" s="283">
        <f>insumos!$H$113*25</f>
        <v>0.6752363465542863</v>
      </c>
      <c r="O66" s="291" t="s">
        <v>726</v>
      </c>
      <c r="P66" s="245"/>
      <c r="Q66" s="281"/>
      <c r="R66" s="282" t="s">
        <v>587</v>
      </c>
      <c r="S66" s="304">
        <f>11124.76/613</f>
        <v>18.14805872756933</v>
      </c>
      <c r="T66" s="245"/>
      <c r="U66" s="245"/>
      <c r="V66" s="311"/>
      <c r="W66" s="307" t="s">
        <v>604</v>
      </c>
      <c r="X66" s="308">
        <f>X65*1.03</f>
        <v>0.09851538430329274</v>
      </c>
      <c r="Y66" s="245"/>
      <c r="Z66" s="245"/>
      <c r="AA66" s="26" t="s">
        <v>574</v>
      </c>
      <c r="AB66" s="1" t="s">
        <v>575</v>
      </c>
      <c r="AC66" s="283">
        <f>insumos!$H$120*5</f>
        <v>0.0995</v>
      </c>
      <c r="AD66" s="1" t="s">
        <v>652</v>
      </c>
      <c r="AE66" s="245"/>
      <c r="AF66" s="245"/>
      <c r="AG66" s="245"/>
      <c r="AH66" s="245"/>
      <c r="AI66" s="245"/>
      <c r="AJ66" s="245"/>
      <c r="AK66" s="26" t="s">
        <v>728</v>
      </c>
      <c r="AL66" s="30" t="s">
        <v>729</v>
      </c>
      <c r="AM66" s="283">
        <f>insumos!H77*3</f>
        <v>0.9570010013351136</v>
      </c>
      <c r="AN66" s="1" t="s">
        <v>526</v>
      </c>
      <c r="AO66" s="245"/>
      <c r="AP66" s="281">
        <v>4653</v>
      </c>
      <c r="AQ66" s="282" t="s">
        <v>525</v>
      </c>
      <c r="AR66" s="283">
        <f>insumos!$H$254*3</f>
        <v>0.5592178831719787</v>
      </c>
      <c r="AS66" s="284" t="s">
        <v>526</v>
      </c>
      <c r="AT66" s="245"/>
      <c r="AU66" s="245"/>
      <c r="AV66" s="245"/>
      <c r="AW66" s="245"/>
      <c r="AX66" s="245"/>
      <c r="AY66" s="245"/>
      <c r="AZ66" s="278"/>
      <c r="BA66" s="279" t="s">
        <v>134</v>
      </c>
      <c r="BB66" s="278"/>
      <c r="BC66" s="269"/>
      <c r="BD66" s="245"/>
      <c r="BE66" s="278"/>
      <c r="BF66" s="279" t="s">
        <v>134</v>
      </c>
      <c r="BG66" s="278"/>
      <c r="BH66" s="269"/>
      <c r="BI66" s="245"/>
      <c r="BJ66" s="245"/>
      <c r="BK66" s="245"/>
      <c r="BL66" s="245"/>
      <c r="BM66" s="245"/>
      <c r="BN66" s="245"/>
      <c r="BO66" s="278"/>
      <c r="BP66" s="279" t="s">
        <v>134</v>
      </c>
      <c r="BQ66" s="278"/>
      <c r="BR66" s="269"/>
      <c r="BS66" s="245"/>
      <c r="BT66" s="245"/>
      <c r="BU66" s="245"/>
      <c r="BV66" s="245"/>
      <c r="BW66" s="245"/>
      <c r="BX66" s="245"/>
      <c r="BY66" s="275" t="s">
        <v>492</v>
      </c>
      <c r="BZ66" s="276" t="s">
        <v>495</v>
      </c>
      <c r="CA66" s="275" t="s">
        <v>467</v>
      </c>
      <c r="CB66" s="269"/>
      <c r="CC66" s="245"/>
      <c r="CD66" s="281">
        <v>3741</v>
      </c>
      <c r="CE66" s="282" t="s">
        <v>500</v>
      </c>
      <c r="CF66" s="283">
        <f>insumos!$G$213</f>
        <v>0.8355871886120997</v>
      </c>
      <c r="CG66" s="284"/>
      <c r="CH66" s="245"/>
      <c r="CI66" s="278"/>
      <c r="CJ66" s="279" t="s">
        <v>134</v>
      </c>
      <c r="CK66" s="278"/>
      <c r="CL66" s="269"/>
      <c r="CM66" s="245"/>
      <c r="CN66" s="281">
        <v>3741</v>
      </c>
      <c r="CO66" s="282" t="s">
        <v>500</v>
      </c>
      <c r="CP66" s="31">
        <f>insumos!$G$213</f>
        <v>0.8355871886120997</v>
      </c>
      <c r="CQ66" s="245"/>
      <c r="CR66" s="245"/>
      <c r="CS66" s="281">
        <v>4542</v>
      </c>
      <c r="CT66" s="286" t="s">
        <v>527</v>
      </c>
      <c r="CU66" s="283">
        <f>insumos!$I$35</f>
        <v>0.022058823529411763</v>
      </c>
      <c r="CV66" s="284"/>
      <c r="CW66" s="245"/>
      <c r="CX66" s="245"/>
      <c r="CY66" s="245"/>
      <c r="CZ66" s="245"/>
      <c r="DA66" s="245"/>
      <c r="DB66" s="245"/>
      <c r="DC66" s="245"/>
      <c r="DD66" s="245"/>
      <c r="DE66" s="245"/>
      <c r="DF66" s="245"/>
      <c r="DG66" s="245"/>
      <c r="DH66" s="26">
        <v>3817</v>
      </c>
      <c r="DI66" s="243" t="s">
        <v>524</v>
      </c>
      <c r="DJ66" s="289">
        <f>insumos!$I$103*1.8</f>
        <v>0.02088</v>
      </c>
      <c r="DK66" s="1" t="s">
        <v>547</v>
      </c>
      <c r="DL66" s="245"/>
      <c r="DM66" s="278"/>
      <c r="DN66" s="279" t="s">
        <v>134</v>
      </c>
      <c r="DO66" s="278"/>
      <c r="DP66" s="269"/>
      <c r="DQ66" s="245"/>
      <c r="DR66" s="245"/>
      <c r="DS66" s="245"/>
      <c r="DT66" s="245"/>
      <c r="DU66" s="245"/>
      <c r="DV66" s="245"/>
      <c r="DW66" s="245"/>
      <c r="DX66" s="245"/>
      <c r="DY66" s="245"/>
      <c r="DZ66" s="245"/>
      <c r="EA66" s="245"/>
      <c r="EB66" s="245"/>
      <c r="EC66" s="245"/>
      <c r="ED66" s="245"/>
      <c r="EE66" s="245"/>
    </row>
    <row r="67" spans="1:135" x14ac:dyDescent="0.25">
      <c r="A67" s="245"/>
      <c r="B67" s="275" t="s">
        <v>492</v>
      </c>
      <c r="C67" s="276" t="s">
        <v>495</v>
      </c>
      <c r="D67" s="275" t="s">
        <v>467</v>
      </c>
      <c r="E67" s="245"/>
      <c r="F67" s="245"/>
      <c r="G67" s="297"/>
      <c r="H67" s="298" t="s">
        <v>5</v>
      </c>
      <c r="I67" s="299">
        <f>SUM(I58:I66)</f>
        <v>5.176463669949181</v>
      </c>
      <c r="J67" s="269"/>
      <c r="K67" s="245"/>
      <c r="L67" s="297"/>
      <c r="M67" s="303" t="s">
        <v>5</v>
      </c>
      <c r="N67" s="299">
        <f>SUM(N58:N66)</f>
        <v>10.542625436380302</v>
      </c>
      <c r="O67" s="245"/>
      <c r="P67" s="245"/>
      <c r="Q67" s="281"/>
      <c r="R67" s="307" t="s">
        <v>599</v>
      </c>
      <c r="S67" s="308">
        <f>+S65/S66</f>
        <v>0.07562181225153139</v>
      </c>
      <c r="T67" s="245"/>
      <c r="U67" s="245"/>
      <c r="V67" s="245"/>
      <c r="W67" s="245"/>
      <c r="X67" s="245"/>
      <c r="Y67" s="245"/>
      <c r="Z67" s="245"/>
      <c r="AA67" s="297"/>
      <c r="AB67" s="298" t="s">
        <v>5</v>
      </c>
      <c r="AC67" s="299">
        <f>SUM(AC58:AC66)</f>
        <v>1.9718890898260135</v>
      </c>
      <c r="AD67" s="245"/>
      <c r="AE67" s="245"/>
      <c r="AF67" s="245"/>
      <c r="AG67" s="245"/>
      <c r="AH67" s="245"/>
      <c r="AI67" s="245"/>
      <c r="AJ67" s="245"/>
      <c r="AK67" s="297"/>
      <c r="AL67" s="298" t="s">
        <v>5</v>
      </c>
      <c r="AM67" s="299">
        <f>SUM(AM58:AM66)</f>
        <v>3.2383795865247516</v>
      </c>
      <c r="AN67" s="245"/>
      <c r="AO67" s="245"/>
      <c r="AP67" s="281">
        <v>4541</v>
      </c>
      <c r="AQ67" s="282" t="s">
        <v>529</v>
      </c>
      <c r="AR67" s="283">
        <f>insumos!$H$43</f>
        <v>0.022058823529411766</v>
      </c>
      <c r="AS67" s="245"/>
      <c r="AT67" s="245"/>
      <c r="AU67" s="245"/>
      <c r="AV67" s="245"/>
      <c r="AW67" s="245"/>
      <c r="AX67" s="245"/>
      <c r="AY67" s="245"/>
      <c r="AZ67" s="281">
        <v>3741</v>
      </c>
      <c r="BA67" s="282" t="s">
        <v>500</v>
      </c>
      <c r="BB67" s="283">
        <f>insumos!$G$213</f>
        <v>0.8355871886120997</v>
      </c>
      <c r="BC67" s="284"/>
      <c r="BD67" s="285"/>
      <c r="BE67" s="281">
        <v>3741</v>
      </c>
      <c r="BF67" s="282" t="s">
        <v>500</v>
      </c>
      <c r="BG67" s="283">
        <f>insumos!$G$213</f>
        <v>0.8355871886120997</v>
      </c>
      <c r="BH67" s="284"/>
      <c r="BI67" s="245"/>
      <c r="BJ67" s="245"/>
      <c r="BK67" s="245"/>
      <c r="BL67" s="245"/>
      <c r="BM67" s="245"/>
      <c r="BN67" s="245"/>
      <c r="BO67" s="281">
        <v>6184</v>
      </c>
      <c r="BP67" s="1" t="s">
        <v>502</v>
      </c>
      <c r="BQ67" s="283">
        <f>insumos!$H$215</f>
        <v>0.6</v>
      </c>
      <c r="BR67" s="284"/>
      <c r="BS67" s="245"/>
      <c r="BT67" s="245"/>
      <c r="BU67" s="245"/>
      <c r="BV67" s="245"/>
      <c r="BW67" s="245"/>
      <c r="BX67" s="245"/>
      <c r="BY67" s="278"/>
      <c r="BZ67" s="279" t="s">
        <v>134</v>
      </c>
      <c r="CA67" s="278"/>
      <c r="CB67" s="269"/>
      <c r="CC67" s="245"/>
      <c r="CD67" s="26" t="s">
        <v>515</v>
      </c>
      <c r="CE67" s="30" t="s">
        <v>516</v>
      </c>
      <c r="CF67" s="283">
        <f>+insumos!$G$283</f>
        <v>1.1</v>
      </c>
      <c r="CG67" s="284"/>
      <c r="CH67" s="245"/>
      <c r="CI67" s="281">
        <v>3741</v>
      </c>
      <c r="CJ67" s="282" t="s">
        <v>500</v>
      </c>
      <c r="CK67" s="31">
        <f>insumos!$G$213</f>
        <v>0.8355871886120997</v>
      </c>
      <c r="CL67" s="245"/>
      <c r="CM67" s="245"/>
      <c r="CN67" s="281">
        <v>3759</v>
      </c>
      <c r="CO67" s="1" t="s">
        <v>507</v>
      </c>
      <c r="CP67" s="31">
        <f>+insumos!$G$284</f>
        <v>1.1352416613292604</v>
      </c>
      <c r="CQ67" s="245"/>
      <c r="CR67" s="245"/>
      <c r="CS67" s="281">
        <v>4986</v>
      </c>
      <c r="CT67" s="1" t="s">
        <v>530</v>
      </c>
      <c r="CU67" s="283">
        <f>insumos!$H$255*4</f>
        <v>0.7599995156520082</v>
      </c>
      <c r="CV67" s="284" t="s">
        <v>531</v>
      </c>
      <c r="CW67" s="245"/>
      <c r="CX67" s="245"/>
      <c r="CY67" s="245"/>
      <c r="CZ67" s="245"/>
      <c r="DA67" s="245"/>
      <c r="DB67" s="245"/>
      <c r="DC67" s="245"/>
      <c r="DD67" s="245"/>
      <c r="DE67" s="245"/>
      <c r="DF67" s="245"/>
      <c r="DG67" s="245"/>
      <c r="DH67" s="26">
        <v>2173</v>
      </c>
      <c r="DI67" s="243" t="s">
        <v>536</v>
      </c>
      <c r="DJ67" s="289">
        <f>+insumos!$H$149*2</f>
        <v>0.0349502662966019</v>
      </c>
      <c r="DK67" s="245"/>
      <c r="DL67" s="245"/>
      <c r="DM67" s="281">
        <v>3741</v>
      </c>
      <c r="DN67" s="282" t="s">
        <v>500</v>
      </c>
      <c r="DO67" s="283">
        <f>insumos!$G$213</f>
        <v>0.8355871886120997</v>
      </c>
      <c r="DP67" s="284"/>
      <c r="DQ67" s="285"/>
      <c r="DR67" s="285"/>
      <c r="DS67" s="285"/>
      <c r="DT67" s="285"/>
      <c r="DU67" s="285"/>
      <c r="DV67" s="285"/>
      <c r="DW67" s="245"/>
      <c r="DX67" s="245"/>
      <c r="DY67" s="245"/>
      <c r="DZ67" s="285"/>
      <c r="EA67" s="285"/>
      <c r="EB67" s="285"/>
      <c r="EC67" s="245"/>
      <c r="ED67" s="245"/>
      <c r="EE67" s="245"/>
    </row>
    <row r="68" spans="1:135" x14ac:dyDescent="0.25">
      <c r="A68" s="245"/>
      <c r="B68" s="278"/>
      <c r="C68" s="279" t="s">
        <v>134</v>
      </c>
      <c r="D68" s="278"/>
      <c r="E68" s="245"/>
      <c r="F68" s="245"/>
      <c r="G68" s="281"/>
      <c r="H68" s="282" t="s">
        <v>587</v>
      </c>
      <c r="I68" s="281">
        <v>18</v>
      </c>
      <c r="J68" s="269"/>
      <c r="K68" s="245"/>
      <c r="L68" s="281"/>
      <c r="M68" s="286" t="s">
        <v>587</v>
      </c>
      <c r="N68" s="304">
        <f>1728.45/86</f>
        <v>20.09825581395349</v>
      </c>
      <c r="O68" s="245"/>
      <c r="P68" s="245"/>
      <c r="Q68" s="311"/>
      <c r="R68" s="307" t="s">
        <v>604</v>
      </c>
      <c r="S68" s="308">
        <f>S67*1.03</f>
        <v>0.07789046661907734</v>
      </c>
      <c r="T68" s="245"/>
      <c r="U68" s="245"/>
      <c r="V68" s="263">
        <v>993133</v>
      </c>
      <c r="W68" s="264" t="s">
        <v>730</v>
      </c>
      <c r="X68" s="267"/>
      <c r="Y68" s="245"/>
      <c r="Z68" s="245"/>
      <c r="AA68" s="281"/>
      <c r="AB68" s="282" t="s">
        <v>587</v>
      </c>
      <c r="AC68" s="304">
        <f>13191.03/635</f>
        <v>20.773275590551183</v>
      </c>
      <c r="AD68" s="245"/>
      <c r="AE68" s="245"/>
      <c r="AF68" s="245"/>
      <c r="AG68" s="245"/>
      <c r="AH68" s="245"/>
      <c r="AI68" s="245"/>
      <c r="AJ68" s="245"/>
      <c r="AK68" s="281"/>
      <c r="AL68" s="282" t="s">
        <v>587</v>
      </c>
      <c r="AM68" s="304">
        <f>65733.97/3677</f>
        <v>17.877065542561873</v>
      </c>
      <c r="AN68" s="245"/>
      <c r="AO68" s="245"/>
      <c r="AP68" s="26">
        <v>3817</v>
      </c>
      <c r="AQ68" s="243" t="s">
        <v>524</v>
      </c>
      <c r="AR68" s="289">
        <f>insumos!$I$103*1.8</f>
        <v>0.02088</v>
      </c>
      <c r="AS68" s="1" t="s">
        <v>538</v>
      </c>
      <c r="AT68" s="245"/>
      <c r="AU68" s="245"/>
      <c r="AV68" s="245"/>
      <c r="AW68" s="245"/>
      <c r="AX68" s="245"/>
      <c r="AY68" s="245"/>
      <c r="AZ68" s="26" t="s">
        <v>515</v>
      </c>
      <c r="BA68" s="30" t="s">
        <v>516</v>
      </c>
      <c r="BB68" s="283">
        <f>+insumos!$G$283</f>
        <v>1.1</v>
      </c>
      <c r="BC68" s="284"/>
      <c r="BD68" s="285"/>
      <c r="BE68" s="26" t="s">
        <v>517</v>
      </c>
      <c r="BF68" s="30" t="s">
        <v>518</v>
      </c>
      <c r="BG68" s="283">
        <f>+insumos!$H$263</f>
        <v>1.6</v>
      </c>
      <c r="BH68" s="284"/>
      <c r="BI68" s="245"/>
      <c r="BJ68" s="245"/>
      <c r="BK68" s="245"/>
      <c r="BL68" s="245"/>
      <c r="BM68" s="245"/>
      <c r="BN68" s="245"/>
      <c r="BO68" s="26" t="s">
        <v>515</v>
      </c>
      <c r="BP68" s="30" t="s">
        <v>516</v>
      </c>
      <c r="BQ68" s="283">
        <f>+insumos!$G$283</f>
        <v>1.1</v>
      </c>
      <c r="BR68" s="284"/>
      <c r="BS68" s="245"/>
      <c r="BT68" s="245"/>
      <c r="BU68" s="245"/>
      <c r="BV68" s="245"/>
      <c r="BW68" s="245"/>
      <c r="BX68" s="245"/>
      <c r="BY68" s="281">
        <v>5524</v>
      </c>
      <c r="BZ68" s="1" t="s">
        <v>501</v>
      </c>
      <c r="CA68" s="283">
        <f>insumos!$H$217</f>
        <v>0.8950000000000001</v>
      </c>
      <c r="CB68" s="269"/>
      <c r="CC68" s="245"/>
      <c r="CD68" s="281">
        <v>4986</v>
      </c>
      <c r="CE68" s="30" t="s">
        <v>530</v>
      </c>
      <c r="CF68" s="283">
        <f>insumos!$H$255*3</f>
        <v>0.5699996367390061</v>
      </c>
      <c r="CG68" s="284" t="s">
        <v>526</v>
      </c>
      <c r="CH68" s="245"/>
      <c r="CI68" s="26" t="s">
        <v>521</v>
      </c>
      <c r="CJ68" s="30" t="s">
        <v>522</v>
      </c>
      <c r="CK68" s="31">
        <f>+insumos!$H$274</f>
        <v>1.6</v>
      </c>
      <c r="CL68" s="245"/>
      <c r="CM68" s="245"/>
      <c r="CN68" s="281">
        <v>4653</v>
      </c>
      <c r="CO68" s="282" t="s">
        <v>525</v>
      </c>
      <c r="CP68" s="283">
        <f>insumos!$H$254</f>
        <v>0.18640596105732624</v>
      </c>
      <c r="CQ68" s="284"/>
      <c r="CR68" s="245"/>
      <c r="CS68" s="26">
        <v>3817</v>
      </c>
      <c r="CT68" s="243" t="s">
        <v>524</v>
      </c>
      <c r="CU68" s="289">
        <f>insumos!$I$103*1.8</f>
        <v>0.02088</v>
      </c>
      <c r="CV68" s="1" t="s">
        <v>538</v>
      </c>
      <c r="CW68" s="245"/>
      <c r="CX68" s="245"/>
      <c r="CY68" s="245"/>
      <c r="CZ68" s="245"/>
      <c r="DA68" s="245"/>
      <c r="DB68" s="245"/>
      <c r="DC68" s="245"/>
      <c r="DD68" s="245"/>
      <c r="DE68" s="245"/>
      <c r="DF68" s="245"/>
      <c r="DG68" s="245"/>
      <c r="DH68" s="281">
        <v>3636</v>
      </c>
      <c r="DI68" s="282" t="s">
        <v>550</v>
      </c>
      <c r="DJ68" s="283">
        <f>+insumos!$H$121</f>
        <v>0.0445</v>
      </c>
      <c r="DK68" s="245"/>
      <c r="DL68" s="245"/>
      <c r="DM68" s="26">
        <v>6265</v>
      </c>
      <c r="DN68" s="30" t="s">
        <v>520</v>
      </c>
      <c r="DO68" s="283">
        <f>+insumos!$H$279</f>
        <v>1.25</v>
      </c>
      <c r="DP68" s="284"/>
      <c r="DQ68" s="285"/>
      <c r="DR68" s="285"/>
      <c r="DS68" s="285"/>
      <c r="DT68" s="285"/>
      <c r="DU68" s="285"/>
      <c r="DV68" s="285"/>
      <c r="DW68" s="245"/>
      <c r="DX68" s="245"/>
      <c r="DY68" s="245"/>
      <c r="DZ68" s="285"/>
      <c r="EA68" s="285"/>
      <c r="EB68" s="285"/>
      <c r="EC68" s="245"/>
      <c r="ED68" s="245"/>
      <c r="EE68" s="245"/>
    </row>
    <row r="69" spans="1:135" x14ac:dyDescent="0.25">
      <c r="A69" s="245"/>
      <c r="B69" s="281">
        <v>3741</v>
      </c>
      <c r="C69" s="282" t="s">
        <v>500</v>
      </c>
      <c r="D69" s="31">
        <f>insumos!$G$213</f>
        <v>0.8355871886120997</v>
      </c>
      <c r="E69" s="245"/>
      <c r="F69" s="245"/>
      <c r="G69" s="281"/>
      <c r="H69" s="307" t="s">
        <v>599</v>
      </c>
      <c r="I69" s="308">
        <f>+I67/I68</f>
        <v>0.2875813149971767</v>
      </c>
      <c r="J69" s="269"/>
      <c r="K69" s="245"/>
      <c r="L69" s="281"/>
      <c r="M69" s="310" t="s">
        <v>599</v>
      </c>
      <c r="N69" s="308">
        <f>+N67/N68</f>
        <v>0.5245542465959131</v>
      </c>
      <c r="O69" s="245"/>
      <c r="P69" s="245"/>
      <c r="Q69" s="245"/>
      <c r="R69" s="245"/>
      <c r="S69" s="245"/>
      <c r="T69" s="245"/>
      <c r="U69" s="245"/>
      <c r="V69" s="275" t="s">
        <v>492</v>
      </c>
      <c r="W69" s="276" t="s">
        <v>495</v>
      </c>
      <c r="X69" s="275" t="s">
        <v>467</v>
      </c>
      <c r="Y69" s="245"/>
      <c r="Z69" s="245"/>
      <c r="AA69" s="281"/>
      <c r="AB69" s="307" t="s">
        <v>599</v>
      </c>
      <c r="AC69" s="308">
        <f>+AC67/AC68</f>
        <v>0.09492432145477028</v>
      </c>
      <c r="AD69" s="245"/>
      <c r="AE69" s="245"/>
      <c r="AF69" s="245"/>
      <c r="AG69" s="245"/>
      <c r="AH69" s="245"/>
      <c r="AI69" s="245"/>
      <c r="AJ69" s="245"/>
      <c r="AK69" s="281"/>
      <c r="AL69" s="307" t="s">
        <v>599</v>
      </c>
      <c r="AM69" s="308">
        <f>+AM67/AM68</f>
        <v>0.18114715632802203</v>
      </c>
      <c r="AN69" s="245"/>
      <c r="AO69" s="245"/>
      <c r="AP69" s="26">
        <v>2173</v>
      </c>
      <c r="AQ69" s="243" t="s">
        <v>536</v>
      </c>
      <c r="AR69" s="289">
        <f>+insumos!$H$149*2</f>
        <v>0.0349502662966019</v>
      </c>
      <c r="AS69" s="1" t="s">
        <v>547</v>
      </c>
      <c r="AT69" s="245"/>
      <c r="AU69" s="245"/>
      <c r="AV69" s="245"/>
      <c r="AW69" s="245"/>
      <c r="AX69" s="245"/>
      <c r="AY69" s="245"/>
      <c r="AZ69" s="281">
        <v>4986</v>
      </c>
      <c r="BA69" s="30" t="s">
        <v>530</v>
      </c>
      <c r="BB69" s="283">
        <f>insumos!$H$255*2</f>
        <v>0.3799997578260041</v>
      </c>
      <c r="BC69" s="284" t="s">
        <v>532</v>
      </c>
      <c r="BD69" s="285"/>
      <c r="BE69" s="281">
        <v>4653</v>
      </c>
      <c r="BF69" s="282" t="s">
        <v>525</v>
      </c>
      <c r="BG69" s="283">
        <f>insumos!$H$254*2</f>
        <v>0.37281192211465247</v>
      </c>
      <c r="BH69" s="284" t="s">
        <v>532</v>
      </c>
      <c r="BI69" s="245"/>
      <c r="BJ69" s="245"/>
      <c r="BK69" s="245"/>
      <c r="BL69" s="245"/>
      <c r="BM69" s="245"/>
      <c r="BN69" s="245"/>
      <c r="BO69" s="281">
        <v>4653</v>
      </c>
      <c r="BP69" s="282" t="s">
        <v>525</v>
      </c>
      <c r="BQ69" s="283">
        <f>insumos!$H$254</f>
        <v>0.18640596105732624</v>
      </c>
      <c r="BR69" s="284"/>
      <c r="BS69" s="245"/>
      <c r="BT69" s="245"/>
      <c r="BU69" s="245"/>
      <c r="BV69" s="245"/>
      <c r="BW69" s="245"/>
      <c r="BX69" s="245"/>
      <c r="BY69" s="281">
        <v>5523</v>
      </c>
      <c r="BZ69" s="282" t="s">
        <v>508</v>
      </c>
      <c r="CA69" s="283">
        <f>+insumos!$H$285</f>
        <v>1.1829611337771098</v>
      </c>
      <c r="CB69" s="269"/>
      <c r="CC69" s="245"/>
      <c r="CD69" s="26" t="s">
        <v>539</v>
      </c>
      <c r="CE69" s="30" t="s">
        <v>540</v>
      </c>
      <c r="CF69" s="283">
        <f>insumos!$H$45</f>
        <v>0.028</v>
      </c>
      <c r="CG69" s="284"/>
      <c r="CH69" s="245"/>
      <c r="CI69" s="281">
        <v>4653</v>
      </c>
      <c r="CJ69" s="282" t="s">
        <v>525</v>
      </c>
      <c r="CK69" s="283">
        <f>insumos!$H$254*3</f>
        <v>0.5592178831719787</v>
      </c>
      <c r="CL69" s="284" t="s">
        <v>526</v>
      </c>
      <c r="CM69" s="245"/>
      <c r="CN69" s="281">
        <v>4541</v>
      </c>
      <c r="CO69" s="282" t="s">
        <v>529</v>
      </c>
      <c r="CP69" s="283">
        <f>insumos!$H$43</f>
        <v>0.022058823529411766</v>
      </c>
      <c r="CQ69" s="245"/>
      <c r="CR69" s="245"/>
      <c r="CS69" s="26">
        <v>2173</v>
      </c>
      <c r="CT69" s="243" t="s">
        <v>536</v>
      </c>
      <c r="CU69" s="289">
        <f>+insumos!$H$149*2</f>
        <v>0.0349502662966019</v>
      </c>
      <c r="CV69" s="1" t="s">
        <v>547</v>
      </c>
      <c r="CW69" s="245"/>
      <c r="CX69" s="245"/>
      <c r="CY69" s="245"/>
      <c r="CZ69" s="245"/>
      <c r="DA69" s="245"/>
      <c r="DB69" s="245"/>
      <c r="DC69" s="245"/>
      <c r="DD69" s="245"/>
      <c r="DE69" s="245"/>
      <c r="DF69" s="245"/>
      <c r="DG69" s="245"/>
      <c r="DH69" s="292"/>
      <c r="DI69" s="279" t="s">
        <v>553</v>
      </c>
      <c r="DJ69" s="293"/>
      <c r="DL69" s="245"/>
      <c r="DM69" s="281">
        <v>4653</v>
      </c>
      <c r="DN69" s="282" t="s">
        <v>525</v>
      </c>
      <c r="DO69" s="283">
        <f>insumos!$H$254*3</f>
        <v>0.5592178831719787</v>
      </c>
      <c r="DP69" s="284" t="s">
        <v>526</v>
      </c>
      <c r="DQ69" s="285"/>
      <c r="DR69" s="285"/>
      <c r="DS69" s="285"/>
      <c r="DT69" s="285"/>
      <c r="DU69" s="285"/>
      <c r="DV69" s="285"/>
      <c r="DW69" s="285"/>
      <c r="DX69" s="285"/>
      <c r="DY69" s="285"/>
      <c r="DZ69" s="285"/>
      <c r="EA69" s="285"/>
      <c r="EB69" s="285"/>
      <c r="EC69" s="245"/>
      <c r="ED69" s="245"/>
      <c r="EE69" s="245"/>
    </row>
    <row r="70" spans="1:135" x14ac:dyDescent="0.25">
      <c r="A70" s="245"/>
      <c r="B70" s="281">
        <v>3759</v>
      </c>
      <c r="C70" s="282" t="s">
        <v>508</v>
      </c>
      <c r="D70" s="31">
        <f>+insumos!$G$284</f>
        <v>1.1352416613292604</v>
      </c>
      <c r="E70" s="245"/>
      <c r="F70" s="245"/>
      <c r="G70" s="311"/>
      <c r="H70" s="307" t="s">
        <v>604</v>
      </c>
      <c r="I70" s="308">
        <f>I69*1.03</f>
        <v>0.296208754447092</v>
      </c>
      <c r="J70" s="269"/>
      <c r="K70" s="245"/>
      <c r="L70" s="311"/>
      <c r="M70" s="310" t="s">
        <v>604</v>
      </c>
      <c r="N70" s="308">
        <f>N69*1.03</f>
        <v>0.5402908739937905</v>
      </c>
      <c r="O70" s="245"/>
      <c r="P70" s="245"/>
      <c r="Q70" s="263">
        <v>998014</v>
      </c>
      <c r="R70" s="264" t="s">
        <v>731</v>
      </c>
      <c r="S70" s="267"/>
      <c r="T70" s="245"/>
      <c r="U70" s="245"/>
      <c r="V70" s="278"/>
      <c r="W70" s="279" t="s">
        <v>134</v>
      </c>
      <c r="X70" s="278"/>
      <c r="Y70" s="245"/>
      <c r="Z70" s="245"/>
      <c r="AA70" s="311"/>
      <c r="AB70" s="307" t="s">
        <v>604</v>
      </c>
      <c r="AC70" s="308">
        <f>AC69*1.03</f>
        <v>0.09777205109841339</v>
      </c>
      <c r="AD70" s="245"/>
      <c r="AE70" s="245"/>
      <c r="AF70" s="245"/>
      <c r="AG70" s="245"/>
      <c r="AH70" s="245"/>
      <c r="AI70" s="245"/>
      <c r="AJ70" s="245"/>
      <c r="AK70" s="311"/>
      <c r="AL70" s="307" t="s">
        <v>604</v>
      </c>
      <c r="AM70" s="308">
        <f>AM69*1.03</f>
        <v>0.18658157101786269</v>
      </c>
      <c r="AN70" s="245"/>
      <c r="AO70" s="245"/>
      <c r="AP70" s="281">
        <v>3636</v>
      </c>
      <c r="AQ70" s="282" t="s">
        <v>550</v>
      </c>
      <c r="AR70" s="283">
        <f>+insumos!$H$121</f>
        <v>0.0445</v>
      </c>
      <c r="AT70" s="245"/>
      <c r="AU70" s="245"/>
      <c r="AV70" s="245"/>
      <c r="AW70" s="245"/>
      <c r="AX70" s="245"/>
      <c r="AY70" s="245"/>
      <c r="AZ70" s="26" t="s">
        <v>539</v>
      </c>
      <c r="BA70" s="30" t="s">
        <v>540</v>
      </c>
      <c r="BB70" s="283">
        <f>insumos!$H$45</f>
        <v>0.028</v>
      </c>
      <c r="BC70" s="284"/>
      <c r="BD70" s="285"/>
      <c r="BE70" s="26" t="s">
        <v>541</v>
      </c>
      <c r="BF70" s="30" t="s">
        <v>542</v>
      </c>
      <c r="BG70" s="283">
        <f>insumos!$H$50</f>
        <v>0.027941176470588237</v>
      </c>
      <c r="BH70" s="284"/>
      <c r="BI70" s="245"/>
      <c r="BJ70" s="245"/>
      <c r="BK70" s="245"/>
      <c r="BL70" s="245"/>
      <c r="BM70" s="245"/>
      <c r="BN70" s="245"/>
      <c r="BO70" s="26" t="s">
        <v>539</v>
      </c>
      <c r="BP70" s="30" t="s">
        <v>540</v>
      </c>
      <c r="BQ70" s="283">
        <f>insumos!$H$45</f>
        <v>0.028</v>
      </c>
      <c r="BR70" s="284"/>
      <c r="BS70" s="245"/>
      <c r="BT70" s="245"/>
      <c r="BU70" s="245"/>
      <c r="BV70" s="245"/>
      <c r="BW70" s="245"/>
      <c r="BX70" s="245"/>
      <c r="BY70" s="281">
        <v>4986</v>
      </c>
      <c r="BZ70" s="1" t="s">
        <v>530</v>
      </c>
      <c r="CA70" s="283">
        <f>insumos!$H$255*3</f>
        <v>0.5699996367390061</v>
      </c>
      <c r="CB70" s="284" t="s">
        <v>526</v>
      </c>
      <c r="CC70" s="245"/>
      <c r="CD70" s="26">
        <v>3817</v>
      </c>
      <c r="CE70" s="243" t="s">
        <v>524</v>
      </c>
      <c r="CF70" s="289">
        <f>insumos!$I$103*1.8</f>
        <v>0.02088</v>
      </c>
      <c r="CG70" s="290" t="s">
        <v>537</v>
      </c>
      <c r="CH70" s="245"/>
      <c r="CI70" s="281">
        <v>4541</v>
      </c>
      <c r="CJ70" s="282" t="s">
        <v>529</v>
      </c>
      <c r="CK70" s="283">
        <f>insumos!$H$43</f>
        <v>0.022058823529411766</v>
      </c>
      <c r="CL70" s="245"/>
      <c r="CM70" s="245"/>
      <c r="CN70" s="26">
        <v>3817</v>
      </c>
      <c r="CO70" s="243" t="s">
        <v>524</v>
      </c>
      <c r="CP70" s="289">
        <f>insumos!$I$103*1.8</f>
        <v>0.02088</v>
      </c>
      <c r="CQ70" s="1" t="s">
        <v>538</v>
      </c>
      <c r="CR70" s="245"/>
      <c r="CS70" s="281">
        <v>3636</v>
      </c>
      <c r="CT70" s="282" t="s">
        <v>550</v>
      </c>
      <c r="CU70" s="283">
        <f>+insumos!$H$121</f>
        <v>0.0445</v>
      </c>
      <c r="CW70" s="245"/>
      <c r="CX70" s="245"/>
      <c r="CY70" s="245"/>
      <c r="CZ70" s="245"/>
      <c r="DA70" s="245"/>
      <c r="DB70" s="245"/>
      <c r="DC70" s="245"/>
      <c r="DD70" s="245"/>
      <c r="DE70" s="245"/>
      <c r="DF70" s="245"/>
      <c r="DG70" s="245"/>
      <c r="DH70" s="26" t="s">
        <v>566</v>
      </c>
      <c r="DI70" s="30" t="s">
        <v>567</v>
      </c>
      <c r="DJ70" s="283">
        <f>insumos!$H$113*4</f>
        <v>0.1080378154486858</v>
      </c>
      <c r="DK70" s="1" t="s">
        <v>531</v>
      </c>
      <c r="DL70" s="245"/>
      <c r="DM70" s="26">
        <v>5353</v>
      </c>
      <c r="DN70" s="30" t="s">
        <v>544</v>
      </c>
      <c r="DO70" s="283">
        <f>insumos!$H$44</f>
        <v>0.028</v>
      </c>
      <c r="DP70" s="284"/>
      <c r="DQ70" s="285"/>
      <c r="DR70" s="285"/>
      <c r="DS70" s="285"/>
      <c r="DT70" s="285"/>
      <c r="DU70" s="285"/>
      <c r="DV70" s="285"/>
      <c r="DW70" s="285"/>
      <c r="DX70" s="285"/>
      <c r="DY70" s="285"/>
      <c r="DZ70" s="285"/>
      <c r="EA70" s="285"/>
      <c r="EB70" s="285"/>
      <c r="EC70" s="245"/>
      <c r="ED70" s="245"/>
      <c r="EE70" s="245"/>
    </row>
    <row r="71" spans="1:135" x14ac:dyDescent="0.25">
      <c r="A71" s="245"/>
      <c r="B71" s="281">
        <v>4653</v>
      </c>
      <c r="C71" s="282" t="s">
        <v>525</v>
      </c>
      <c r="D71" s="283">
        <f>insumos!$H$254*3</f>
        <v>0.5592178831719787</v>
      </c>
      <c r="E71" s="284" t="s">
        <v>526</v>
      </c>
      <c r="F71" s="245"/>
      <c r="G71" s="245"/>
      <c r="H71" s="245"/>
      <c r="I71" s="245"/>
      <c r="J71" s="245"/>
      <c r="K71" s="245"/>
      <c r="P71" s="245"/>
      <c r="Q71" s="275" t="s">
        <v>492</v>
      </c>
      <c r="R71" s="276" t="s">
        <v>495</v>
      </c>
      <c r="S71" s="275" t="s">
        <v>467</v>
      </c>
      <c r="T71" s="245"/>
      <c r="U71" s="245"/>
      <c r="V71" s="281">
        <v>6184</v>
      </c>
      <c r="W71" s="1" t="s">
        <v>502</v>
      </c>
      <c r="X71" s="283">
        <f>insumos!$H$215</f>
        <v>0.6</v>
      </c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94"/>
      <c r="AQ71" s="279" t="s">
        <v>553</v>
      </c>
      <c r="AR71" s="295"/>
      <c r="AT71" s="245"/>
      <c r="AU71" s="245"/>
      <c r="AV71" s="245"/>
      <c r="AW71" s="245"/>
      <c r="AX71" s="245"/>
      <c r="AY71" s="245"/>
      <c r="AZ71" s="26">
        <v>3817</v>
      </c>
      <c r="BA71" s="243" t="s">
        <v>524</v>
      </c>
      <c r="BB71" s="289">
        <f>insumos!$I$103*1.8</f>
        <v>0.02088</v>
      </c>
      <c r="BC71" s="290" t="s">
        <v>537</v>
      </c>
      <c r="BD71" s="290"/>
      <c r="BE71" s="26">
        <v>3817</v>
      </c>
      <c r="BF71" s="243" t="s">
        <v>524</v>
      </c>
      <c r="BG71" s="289">
        <f>insumos!$I$103*1.8</f>
        <v>0.02088</v>
      </c>
      <c r="BH71" s="290" t="s">
        <v>537</v>
      </c>
      <c r="BI71" s="245"/>
      <c r="BJ71" s="245"/>
      <c r="BK71" s="245"/>
      <c r="BL71" s="245"/>
      <c r="BM71" s="245"/>
      <c r="BN71" s="245"/>
      <c r="BO71" s="26">
        <v>3817</v>
      </c>
      <c r="BP71" s="243" t="s">
        <v>524</v>
      </c>
      <c r="BQ71" s="289">
        <f>insumos!$I$103*1.8</f>
        <v>0.02088</v>
      </c>
      <c r="BR71" s="290" t="s">
        <v>537</v>
      </c>
      <c r="BS71" s="245"/>
      <c r="BT71" s="245"/>
      <c r="BU71" s="245"/>
      <c r="BV71" s="245"/>
      <c r="BW71" s="245"/>
      <c r="BX71" s="245"/>
      <c r="BY71" s="281">
        <v>4542</v>
      </c>
      <c r="BZ71" s="282" t="s">
        <v>527</v>
      </c>
      <c r="CA71" s="283">
        <f>insumos!$I$35</f>
        <v>0.022058823529411763</v>
      </c>
      <c r="CB71" s="284"/>
      <c r="CC71" s="245"/>
      <c r="CD71" s="26">
        <v>2173</v>
      </c>
      <c r="CE71" s="243" t="s">
        <v>536</v>
      </c>
      <c r="CF71" s="289">
        <f>+insumos!$H$149*2</f>
        <v>0.0349502662966019</v>
      </c>
      <c r="CG71" s="291" t="s">
        <v>547</v>
      </c>
      <c r="CH71" s="245"/>
      <c r="CI71" s="26">
        <v>3817</v>
      </c>
      <c r="CJ71" s="243" t="s">
        <v>524</v>
      </c>
      <c r="CK71" s="289">
        <f>insumos!$I$103*1.8</f>
        <v>0.02088</v>
      </c>
      <c r="CL71" s="1" t="s">
        <v>538</v>
      </c>
      <c r="CM71" s="245"/>
      <c r="CN71" s="26">
        <v>2173</v>
      </c>
      <c r="CO71" s="243" t="s">
        <v>536</v>
      </c>
      <c r="CP71" s="289">
        <f>+insumos!$H$149*2</f>
        <v>0.0349502662966019</v>
      </c>
      <c r="CQ71" s="1" t="s">
        <v>547</v>
      </c>
      <c r="CR71" s="245"/>
      <c r="CS71" s="294"/>
      <c r="CT71" s="279" t="s">
        <v>553</v>
      </c>
      <c r="CU71" s="295"/>
      <c r="CW71" s="245"/>
      <c r="CX71" s="245"/>
      <c r="CY71" s="245"/>
      <c r="CZ71" s="245"/>
      <c r="DA71" s="245"/>
      <c r="DB71" s="245"/>
      <c r="DC71" s="245"/>
      <c r="DD71" s="245"/>
      <c r="DE71" s="245"/>
      <c r="DF71" s="245"/>
      <c r="DG71" s="245"/>
      <c r="DH71" s="26" t="s">
        <v>583</v>
      </c>
      <c r="DI71" s="30" t="s">
        <v>584</v>
      </c>
      <c r="DJ71" s="283">
        <f>insumos!H186*4</f>
        <v>0.36691056014692375</v>
      </c>
      <c r="DK71" s="1" t="s">
        <v>531</v>
      </c>
      <c r="DL71" s="245"/>
      <c r="DM71" s="26">
        <v>3817</v>
      </c>
      <c r="DN71" s="243" t="s">
        <v>524</v>
      </c>
      <c r="DO71" s="289">
        <f>insumos!$I$103*1.8</f>
        <v>0.02088</v>
      </c>
      <c r="DP71" s="290" t="s">
        <v>537</v>
      </c>
      <c r="DQ71" s="290"/>
      <c r="DR71" s="290"/>
      <c r="DS71" s="290"/>
      <c r="DT71" s="290"/>
      <c r="DU71" s="290"/>
      <c r="DV71" s="290"/>
      <c r="DW71" s="285"/>
      <c r="DX71" s="285"/>
      <c r="DY71" s="285"/>
      <c r="DZ71" s="290"/>
      <c r="EA71" s="290"/>
      <c r="EB71" s="290"/>
      <c r="EC71" s="245"/>
      <c r="ED71" s="245"/>
      <c r="EE71" s="245"/>
    </row>
    <row r="72" ht="14.25" customHeight="1" spans="1:135" x14ac:dyDescent="0.25">
      <c r="A72" s="245"/>
      <c r="B72" s="281">
        <v>4541</v>
      </c>
      <c r="C72" s="282" t="s">
        <v>529</v>
      </c>
      <c r="D72" s="283">
        <f>insumos!$H$43</f>
        <v>0.022058823529411766</v>
      </c>
      <c r="E72" s="245"/>
      <c r="F72" s="245"/>
      <c r="G72" s="263">
        <v>437031</v>
      </c>
      <c r="H72" s="264" t="s">
        <v>621</v>
      </c>
      <c r="I72" s="267">
        <v>815</v>
      </c>
      <c r="J72" s="272">
        <f>I72/E2</f>
        <v>20.24341778440139</v>
      </c>
      <c r="K72" s="245"/>
      <c r="L72" s="263">
        <v>436123</v>
      </c>
      <c r="M72" s="264" t="s">
        <v>732</v>
      </c>
      <c r="N72" s="265">
        <v>420</v>
      </c>
      <c r="O72" s="266">
        <f>N72/E2</f>
        <v>10.432190760059614</v>
      </c>
      <c r="P72" s="245"/>
      <c r="Q72" s="278"/>
      <c r="R72" s="279" t="s">
        <v>134</v>
      </c>
      <c r="S72" s="278"/>
      <c r="T72" s="245"/>
      <c r="U72" s="245"/>
      <c r="V72" s="281">
        <v>2037</v>
      </c>
      <c r="W72" s="282" t="s">
        <v>511</v>
      </c>
      <c r="X72" s="283">
        <f>+insumos!$H$268</f>
        <v>0.65</v>
      </c>
      <c r="Y72" s="245"/>
      <c r="Z72" s="245"/>
      <c r="AA72" s="263">
        <v>991028</v>
      </c>
      <c r="AB72" s="264" t="s">
        <v>733</v>
      </c>
      <c r="AC72" s="267"/>
      <c r="AD72" s="245"/>
      <c r="AE72" s="245"/>
      <c r="AF72" s="245"/>
      <c r="AG72" s="245"/>
      <c r="AH72" s="245"/>
      <c r="AI72" s="245"/>
      <c r="AJ72" s="245"/>
      <c r="AK72" s="263">
        <v>1987193</v>
      </c>
      <c r="AL72" s="264" t="s">
        <v>734</v>
      </c>
      <c r="AM72" s="267"/>
      <c r="AN72" s="245"/>
      <c r="AO72" s="245"/>
      <c r="AP72" s="281"/>
      <c r="AQ72" s="282"/>
      <c r="AR72" s="31"/>
      <c r="AS72" s="296"/>
      <c r="AT72" s="245"/>
      <c r="AU72" s="245"/>
      <c r="AV72" s="245"/>
      <c r="AW72" s="245"/>
      <c r="AX72" s="245"/>
      <c r="AY72" s="245"/>
      <c r="AZ72" s="26">
        <v>2173</v>
      </c>
      <c r="BA72" s="243" t="s">
        <v>536</v>
      </c>
      <c r="BB72" s="289">
        <f>+insumos!$H$149*2</f>
        <v>0.0349502662966019</v>
      </c>
      <c r="BC72" s="291" t="s">
        <v>547</v>
      </c>
      <c r="BD72" s="291"/>
      <c r="BE72" s="26">
        <v>2173</v>
      </c>
      <c r="BF72" s="243" t="s">
        <v>536</v>
      </c>
      <c r="BG72" s="289">
        <f>+insumos!$H$149*2</f>
        <v>0.0349502662966019</v>
      </c>
      <c r="BH72" s="291" t="s">
        <v>547</v>
      </c>
      <c r="BI72" s="245"/>
      <c r="BJ72" s="245"/>
      <c r="BK72" s="245"/>
      <c r="BL72" s="245"/>
      <c r="BM72" s="245"/>
      <c r="BN72" s="245"/>
      <c r="BO72" s="26">
        <v>2173</v>
      </c>
      <c r="BP72" s="243" t="s">
        <v>536</v>
      </c>
      <c r="BQ72" s="289">
        <f>+insumos!$H$149*2</f>
        <v>0.0349502662966019</v>
      </c>
      <c r="BR72" s="291" t="s">
        <v>547</v>
      </c>
      <c r="BS72" s="245"/>
      <c r="BT72" s="245"/>
      <c r="BU72" s="245"/>
      <c r="BV72" s="245"/>
      <c r="BW72" s="245"/>
      <c r="BX72" s="245"/>
      <c r="BY72" s="26">
        <v>3817</v>
      </c>
      <c r="BZ72" s="243" t="s">
        <v>524</v>
      </c>
      <c r="CA72" s="289">
        <f>insumos!$I$103*1.8</f>
        <v>0.02088</v>
      </c>
      <c r="CB72" s="290" t="s">
        <v>537</v>
      </c>
      <c r="CC72" s="245"/>
      <c r="CD72" s="281">
        <v>3636</v>
      </c>
      <c r="CE72" s="282" t="s">
        <v>550</v>
      </c>
      <c r="CF72" s="283">
        <f>+insumos!$H$121</f>
        <v>0.0445</v>
      </c>
      <c r="CG72" s="284"/>
      <c r="CH72" s="245"/>
      <c r="CI72" s="26">
        <v>2173</v>
      </c>
      <c r="CJ72" s="243" t="s">
        <v>536</v>
      </c>
      <c r="CK72" s="289">
        <f>+insumos!$H$149*2</f>
        <v>0.0349502662966019</v>
      </c>
      <c r="CL72" s="1" t="s">
        <v>547</v>
      </c>
      <c r="CM72" s="245"/>
      <c r="CN72" s="281">
        <v>3636</v>
      </c>
      <c r="CO72" s="282" t="s">
        <v>550</v>
      </c>
      <c r="CP72" s="283">
        <f>+insumos!$H$121</f>
        <v>0.0445</v>
      </c>
      <c r="CR72" s="245"/>
      <c r="CS72" s="26" t="s">
        <v>566</v>
      </c>
      <c r="CT72" s="30" t="s">
        <v>567</v>
      </c>
      <c r="CU72" s="283">
        <f>insumos!$H$113*12</f>
        <v>0.32411344634605743</v>
      </c>
      <c r="CV72" s="300" t="s">
        <v>568</v>
      </c>
      <c r="CW72" s="245"/>
      <c r="CX72" s="245"/>
      <c r="CY72" s="245"/>
      <c r="CZ72" s="245"/>
      <c r="DA72" s="245"/>
      <c r="DB72" s="245"/>
      <c r="DC72" s="245"/>
      <c r="DD72" s="245"/>
      <c r="DE72" s="245"/>
      <c r="DF72" s="245"/>
      <c r="DG72" s="245"/>
      <c r="DH72" s="26" t="s">
        <v>596</v>
      </c>
      <c r="DI72" s="30" t="s">
        <v>597</v>
      </c>
      <c r="DJ72" s="283">
        <f>insumos!$H$53*4</f>
        <v>0.6240000000000001</v>
      </c>
      <c r="DK72" s="1" t="s">
        <v>531</v>
      </c>
      <c r="DL72" s="245"/>
      <c r="DM72" s="26">
        <v>2173</v>
      </c>
      <c r="DN72" s="243" t="s">
        <v>536</v>
      </c>
      <c r="DO72" s="289">
        <f>+insumos!$H$149*2</f>
        <v>0.0349502662966019</v>
      </c>
      <c r="DP72" s="291" t="s">
        <v>547</v>
      </c>
      <c r="DQ72" s="291"/>
      <c r="DR72" s="291"/>
      <c r="DS72" s="291"/>
      <c r="DT72" s="291"/>
      <c r="DU72" s="291"/>
      <c r="DV72" s="291"/>
      <c r="DW72" s="285"/>
      <c r="DX72" s="285"/>
      <c r="DY72" s="285"/>
      <c r="DZ72" s="291"/>
      <c r="EA72" s="291"/>
      <c r="EB72" s="291"/>
      <c r="EC72" s="245"/>
      <c r="ED72" s="245"/>
      <c r="EE72" s="245"/>
    </row>
    <row r="73" spans="1:135" x14ac:dyDescent="0.25">
      <c r="A73" s="245"/>
      <c r="B73" s="26">
        <v>3817</v>
      </c>
      <c r="C73" s="243" t="s">
        <v>524</v>
      </c>
      <c r="D73" s="289">
        <f>insumos!$I$103*1.8</f>
        <v>0.02088</v>
      </c>
      <c r="E73" s="1" t="s">
        <v>538</v>
      </c>
      <c r="F73" s="245"/>
      <c r="G73" s="275" t="s">
        <v>492</v>
      </c>
      <c r="H73" s="276" t="s">
        <v>495</v>
      </c>
      <c r="I73" s="275" t="s">
        <v>467</v>
      </c>
      <c r="J73" s="269"/>
      <c r="K73" s="245"/>
      <c r="L73" s="275" t="s">
        <v>492</v>
      </c>
      <c r="M73" s="277" t="s">
        <v>495</v>
      </c>
      <c r="N73" s="275" t="s">
        <v>467</v>
      </c>
      <c r="O73" s="245"/>
      <c r="P73" s="245"/>
      <c r="Q73" s="281">
        <v>6184</v>
      </c>
      <c r="R73" s="1" t="s">
        <v>502</v>
      </c>
      <c r="S73" s="283">
        <f>insumos!$H$215</f>
        <v>0.6</v>
      </c>
      <c r="T73" s="245"/>
      <c r="U73" s="245"/>
      <c r="V73" s="281">
        <v>4542</v>
      </c>
      <c r="W73" s="282" t="s">
        <v>527</v>
      </c>
      <c r="X73" s="283">
        <f>insumos!$I$35</f>
        <v>0.022058823529411763</v>
      </c>
      <c r="Y73" s="245"/>
      <c r="Z73" s="245"/>
      <c r="AA73" s="275" t="s">
        <v>492</v>
      </c>
      <c r="AB73" s="276" t="s">
        <v>495</v>
      </c>
      <c r="AC73" s="275" t="s">
        <v>467</v>
      </c>
      <c r="AD73" s="245"/>
      <c r="AE73" s="245"/>
      <c r="AF73" s="245"/>
      <c r="AG73" s="245"/>
      <c r="AH73" s="245"/>
      <c r="AI73" s="245"/>
      <c r="AJ73" s="245"/>
      <c r="AK73" s="275" t="s">
        <v>492</v>
      </c>
      <c r="AL73" s="276" t="s">
        <v>495</v>
      </c>
      <c r="AM73" s="275" t="s">
        <v>467</v>
      </c>
      <c r="AN73" s="245"/>
      <c r="AO73" s="245"/>
      <c r="AP73" s="26" t="s">
        <v>566</v>
      </c>
      <c r="AQ73" s="30" t="s">
        <v>567</v>
      </c>
      <c r="AR73" s="283">
        <f>insumos!$H$113*16</f>
        <v>0.4321512617947432</v>
      </c>
      <c r="AS73" s="296" t="s">
        <v>580</v>
      </c>
      <c r="AT73" s="245"/>
      <c r="AU73" s="245"/>
      <c r="AV73" s="245"/>
      <c r="AW73" s="245"/>
      <c r="AX73" s="245"/>
      <c r="AY73" s="245"/>
      <c r="AZ73" s="281">
        <v>3636</v>
      </c>
      <c r="BA73" s="282" t="s">
        <v>550</v>
      </c>
      <c r="BB73" s="283">
        <f>+insumos!$H$121</f>
        <v>0.0445</v>
      </c>
      <c r="BC73" s="284"/>
      <c r="BD73" s="285"/>
      <c r="BE73" s="281">
        <v>3636</v>
      </c>
      <c r="BF73" s="282" t="s">
        <v>550</v>
      </c>
      <c r="BG73" s="283">
        <f>+insumos!$H$121</f>
        <v>0.0445</v>
      </c>
      <c r="BH73" s="284"/>
      <c r="BI73" s="245"/>
      <c r="BJ73" s="245"/>
      <c r="BK73" s="245"/>
      <c r="BL73" s="245"/>
      <c r="BM73" s="245"/>
      <c r="BN73" s="245"/>
      <c r="BO73" s="281">
        <v>3636</v>
      </c>
      <c r="BP73" s="282" t="s">
        <v>550</v>
      </c>
      <c r="BQ73" s="283">
        <f>+insumos!$H$121</f>
        <v>0.0445</v>
      </c>
      <c r="BR73" s="284"/>
      <c r="BS73" s="245"/>
      <c r="BT73" s="245"/>
      <c r="BU73" s="245"/>
      <c r="BV73" s="245"/>
      <c r="BW73" s="245"/>
      <c r="BX73" s="245"/>
      <c r="BY73" s="26">
        <v>2173</v>
      </c>
      <c r="BZ73" s="243" t="s">
        <v>536</v>
      </c>
      <c r="CA73" s="289">
        <f>+insumos!$H$149*2</f>
        <v>0.0349502662966019</v>
      </c>
      <c r="CB73" s="291" t="s">
        <v>547</v>
      </c>
      <c r="CC73" s="245"/>
      <c r="CD73" s="292"/>
      <c r="CE73" s="279" t="s">
        <v>553</v>
      </c>
      <c r="CF73" s="293"/>
      <c r="CG73" s="284"/>
      <c r="CH73" s="245"/>
      <c r="CI73" s="281">
        <v>3636</v>
      </c>
      <c r="CJ73" s="282" t="s">
        <v>550</v>
      </c>
      <c r="CK73" s="283">
        <f>+insumos!$H$121</f>
        <v>0.0445</v>
      </c>
      <c r="CM73" s="245"/>
      <c r="CN73" s="294"/>
      <c r="CO73" s="279" t="s">
        <v>553</v>
      </c>
      <c r="CP73" s="295"/>
      <c r="CR73" s="245"/>
      <c r="CS73" s="281"/>
      <c r="CT73" s="282"/>
      <c r="CU73" s="31"/>
      <c r="CV73" s="296"/>
      <c r="CW73" s="245"/>
      <c r="CX73" s="245"/>
      <c r="CY73" s="245"/>
      <c r="CZ73" s="245"/>
      <c r="DA73" s="245"/>
      <c r="DB73" s="245"/>
      <c r="DC73" s="245"/>
      <c r="DD73" s="245"/>
      <c r="DE73" s="245"/>
      <c r="DF73" s="245"/>
      <c r="DG73" s="245"/>
      <c r="DH73" s="297"/>
      <c r="DI73" s="298" t="s">
        <v>5</v>
      </c>
      <c r="DJ73" s="299">
        <f>SUM(DJ62:DJ72)</f>
        <v>4.036924411859728</v>
      </c>
      <c r="DK73" s="318"/>
      <c r="DL73" s="245"/>
      <c r="DM73" s="281">
        <v>3636</v>
      </c>
      <c r="DN73" s="282" t="s">
        <v>550</v>
      </c>
      <c r="DO73" s="283">
        <f>+insumos!$H$121</f>
        <v>0.0445</v>
      </c>
      <c r="DP73" s="284"/>
      <c r="DQ73" s="285"/>
      <c r="DR73" s="285"/>
      <c r="DS73" s="285"/>
      <c r="DT73" s="285"/>
      <c r="DU73" s="285"/>
      <c r="DV73" s="285"/>
      <c r="DW73" s="290"/>
      <c r="DX73" s="290"/>
      <c r="DY73" s="290"/>
      <c r="DZ73" s="285"/>
      <c r="EA73" s="285"/>
      <c r="EB73" s="285"/>
      <c r="EC73" s="245"/>
      <c r="ED73" s="245"/>
      <c r="EE73" s="245"/>
    </row>
    <row r="74" spans="1:135" x14ac:dyDescent="0.25">
      <c r="A74" s="245"/>
      <c r="B74" s="26">
        <v>2173</v>
      </c>
      <c r="C74" s="243" t="s">
        <v>536</v>
      </c>
      <c r="D74" s="289">
        <f>+insumos!$H$149*2</f>
        <v>0.0349502662966019</v>
      </c>
      <c r="E74" s="1" t="s">
        <v>547</v>
      </c>
      <c r="F74" s="285"/>
      <c r="G74" s="278"/>
      <c r="H74" s="279" t="s">
        <v>134</v>
      </c>
      <c r="I74" s="278"/>
      <c r="J74" s="269"/>
      <c r="K74" s="245"/>
      <c r="L74" s="278"/>
      <c r="M74" s="280" t="s">
        <v>134</v>
      </c>
      <c r="N74" s="278"/>
      <c r="O74" s="245"/>
      <c r="P74" s="245"/>
      <c r="Q74" s="281">
        <v>2037</v>
      </c>
      <c r="R74" s="282" t="s">
        <v>511</v>
      </c>
      <c r="S74" s="283">
        <f>+insumos!$H$268</f>
        <v>0.65</v>
      </c>
      <c r="T74" s="245"/>
      <c r="U74" s="245"/>
      <c r="V74" s="26">
        <v>3817</v>
      </c>
      <c r="W74" s="243" t="s">
        <v>524</v>
      </c>
      <c r="X74" s="289">
        <f>insumos!$I$103*1.8</f>
        <v>0.02088</v>
      </c>
      <c r="Y74" s="285" t="s">
        <v>538</v>
      </c>
      <c r="Z74" s="245"/>
      <c r="AA74" s="278"/>
      <c r="AB74" s="279" t="s">
        <v>134</v>
      </c>
      <c r="AC74" s="278"/>
      <c r="AD74" s="245"/>
      <c r="AE74" s="245"/>
      <c r="AF74" s="245"/>
      <c r="AG74" s="245"/>
      <c r="AH74" s="245"/>
      <c r="AI74" s="245"/>
      <c r="AJ74" s="245"/>
      <c r="AK74" s="278"/>
      <c r="AL74" s="279" t="s">
        <v>134</v>
      </c>
      <c r="AM74" s="278"/>
      <c r="AN74" s="245"/>
      <c r="AO74" s="245"/>
      <c r="AP74" s="281">
        <v>6229</v>
      </c>
      <c r="AQ74" s="30" t="s">
        <v>588</v>
      </c>
      <c r="AR74" s="31">
        <f>insumos!$I$265*16</f>
        <v>0.3443402664323933</v>
      </c>
      <c r="AS74" s="296" t="s">
        <v>580</v>
      </c>
      <c r="AT74" s="245"/>
      <c r="AU74" s="245"/>
      <c r="AV74" s="245"/>
      <c r="AW74" s="245"/>
      <c r="AX74" s="245"/>
      <c r="AY74" s="245"/>
      <c r="AZ74" s="292"/>
      <c r="BA74" s="279" t="s">
        <v>553</v>
      </c>
      <c r="BB74" s="293"/>
      <c r="BC74" s="284"/>
      <c r="BD74" s="285"/>
      <c r="BE74" s="292"/>
      <c r="BF74" s="279" t="s">
        <v>553</v>
      </c>
      <c r="BG74" s="293"/>
      <c r="BH74" s="284"/>
      <c r="BI74" s="245"/>
      <c r="BJ74" s="245"/>
      <c r="BK74" s="245"/>
      <c r="BL74" s="245"/>
      <c r="BM74" s="245"/>
      <c r="BN74" s="245"/>
      <c r="BO74" s="292"/>
      <c r="BP74" s="279" t="s">
        <v>553</v>
      </c>
      <c r="BQ74" s="293"/>
      <c r="BR74" s="284"/>
      <c r="BS74" s="245"/>
      <c r="BT74" s="245"/>
      <c r="BU74" s="245"/>
      <c r="BV74" s="245"/>
      <c r="BW74" s="245"/>
      <c r="BX74" s="245"/>
      <c r="BY74" s="281">
        <v>3636</v>
      </c>
      <c r="BZ74" s="282" t="s">
        <v>550</v>
      </c>
      <c r="CA74" s="283">
        <f>+insumos!$H$121</f>
        <v>0.0445</v>
      </c>
      <c r="CC74" s="245"/>
      <c r="CD74" s="26" t="s">
        <v>566</v>
      </c>
      <c r="CE74" s="30" t="s">
        <v>567</v>
      </c>
      <c r="CF74" s="283">
        <f>insumos!$H$113*9</f>
        <v>0.24308508475954307</v>
      </c>
      <c r="CG74" s="296" t="s">
        <v>579</v>
      </c>
      <c r="CH74" s="245"/>
      <c r="CI74" s="294"/>
      <c r="CJ74" s="279" t="s">
        <v>553</v>
      </c>
      <c r="CK74" s="295"/>
      <c r="CM74" s="245"/>
      <c r="CN74" s="26" t="s">
        <v>581</v>
      </c>
      <c r="CO74" s="1" t="s">
        <v>582</v>
      </c>
      <c r="CP74" s="31">
        <f>insumos!$H$181*16</f>
        <v>1.5679999999999998</v>
      </c>
      <c r="CQ74" s="296" t="s">
        <v>580</v>
      </c>
      <c r="CR74" s="245"/>
      <c r="CS74" s="26" t="s">
        <v>569</v>
      </c>
      <c r="CT74" s="1" t="s">
        <v>570</v>
      </c>
      <c r="CU74" s="31">
        <f>insumos!$H$90*12</f>
        <v>3.6960000000000006</v>
      </c>
      <c r="CV74" s="296" t="s">
        <v>568</v>
      </c>
      <c r="CW74" s="245"/>
      <c r="CX74" s="245"/>
      <c r="CY74" s="245"/>
      <c r="CZ74" s="245"/>
      <c r="DA74" s="245"/>
      <c r="DB74" s="245"/>
      <c r="DC74" s="245"/>
      <c r="DD74" s="245"/>
      <c r="DE74" s="245"/>
      <c r="DF74" s="245"/>
      <c r="DG74" s="245"/>
      <c r="DH74" s="281"/>
      <c r="DI74" s="282" t="s">
        <v>587</v>
      </c>
      <c r="DJ74" s="304">
        <v>13.65</v>
      </c>
      <c r="DK74" s="245"/>
      <c r="DL74" s="245"/>
      <c r="DM74" s="292"/>
      <c r="DN74" s="279" t="s">
        <v>553</v>
      </c>
      <c r="DO74" s="293"/>
      <c r="DP74" s="284"/>
      <c r="DQ74" s="285"/>
      <c r="DR74" s="285"/>
      <c r="DS74" s="285"/>
      <c r="DT74" s="285"/>
      <c r="DU74" s="285"/>
      <c r="DV74" s="285"/>
      <c r="DW74" s="291"/>
      <c r="DX74" s="291"/>
      <c r="DY74" s="291"/>
      <c r="DZ74" s="285"/>
      <c r="EA74" s="285"/>
      <c r="EB74" s="285"/>
      <c r="EC74" s="245"/>
      <c r="ED74" s="245"/>
      <c r="EE74" s="245"/>
    </row>
    <row r="75" spans="1:135" x14ac:dyDescent="0.25">
      <c r="A75" s="245"/>
      <c r="B75" s="281">
        <v>3636</v>
      </c>
      <c r="C75" s="282" t="s">
        <v>550</v>
      </c>
      <c r="D75" s="283">
        <f>+insumos!$H$121</f>
        <v>0.0445</v>
      </c>
      <c r="E75" s="245"/>
      <c r="F75" s="245"/>
      <c r="G75" s="281">
        <v>5524</v>
      </c>
      <c r="H75" s="1" t="s">
        <v>501</v>
      </c>
      <c r="I75" s="283">
        <f>insumos!$H$217</f>
        <v>0.8950000000000001</v>
      </c>
      <c r="J75" s="284"/>
      <c r="K75" s="285"/>
      <c r="L75" s="281">
        <v>5524</v>
      </c>
      <c r="M75" s="1" t="s">
        <v>501</v>
      </c>
      <c r="N75" s="283">
        <f>insumos!$H$217</f>
        <v>0.8950000000000001</v>
      </c>
      <c r="O75" s="285"/>
      <c r="P75" s="245"/>
      <c r="Q75" s="281">
        <v>4542</v>
      </c>
      <c r="R75" s="282" t="s">
        <v>527</v>
      </c>
      <c r="S75" s="283">
        <f>insumos!$I$35</f>
        <v>0.022058823529411763</v>
      </c>
      <c r="U75" s="245"/>
      <c r="V75" s="26">
        <v>2173</v>
      </c>
      <c r="W75" s="243" t="s">
        <v>536</v>
      </c>
      <c r="X75" s="289">
        <f>+insumos!$H$149*2</f>
        <v>0.0349502662966019</v>
      </c>
      <c r="Y75" s="1" t="s">
        <v>547</v>
      </c>
      <c r="Z75" s="245"/>
      <c r="AA75" s="281">
        <v>6184</v>
      </c>
      <c r="AB75" s="1" t="s">
        <v>502</v>
      </c>
      <c r="AC75" s="283">
        <f>insumos!$H$215</f>
        <v>0.6</v>
      </c>
      <c r="AD75" s="245"/>
      <c r="AE75" s="245"/>
      <c r="AF75" s="245"/>
      <c r="AG75" s="245"/>
      <c r="AH75" s="245"/>
      <c r="AI75" s="245"/>
      <c r="AJ75" s="245"/>
      <c r="AK75" s="281">
        <v>3741</v>
      </c>
      <c r="AL75" s="282" t="s">
        <v>500</v>
      </c>
      <c r="AM75" s="283">
        <f>insumos!$G$213</f>
        <v>0.8355871886120997</v>
      </c>
      <c r="AN75" s="245"/>
      <c r="AO75" s="245"/>
      <c r="AP75" s="281">
        <v>6254</v>
      </c>
      <c r="AQ75" s="30" t="s">
        <v>600</v>
      </c>
      <c r="AR75" s="31">
        <f>+insumos!$I$208*16</f>
        <v>0.7113191978268528</v>
      </c>
      <c r="AS75" s="296" t="s">
        <v>580</v>
      </c>
      <c r="AT75" s="245"/>
      <c r="AU75" s="245"/>
      <c r="AV75" s="245"/>
      <c r="AW75" s="245"/>
      <c r="AX75" s="245"/>
      <c r="AY75" s="245"/>
      <c r="AZ75" s="281">
        <v>4102</v>
      </c>
      <c r="BA75" s="282" t="s">
        <v>576</v>
      </c>
      <c r="BB75" s="283">
        <f>insumos!$H$115*9</f>
        <v>0.29700000000000004</v>
      </c>
      <c r="BC75" s="300" t="s">
        <v>579</v>
      </c>
      <c r="BD75" s="291"/>
      <c r="BE75" s="26" t="s">
        <v>566</v>
      </c>
      <c r="BF75" s="30" t="s">
        <v>567</v>
      </c>
      <c r="BG75" s="283">
        <f>insumos!$H$113*12</f>
        <v>0.32411344634605743</v>
      </c>
      <c r="BH75" s="300" t="s">
        <v>568</v>
      </c>
      <c r="BI75" s="245"/>
      <c r="BJ75" s="245"/>
      <c r="BK75" s="245"/>
      <c r="BL75" s="245"/>
      <c r="BM75" s="245"/>
      <c r="BN75" s="245"/>
      <c r="BO75" s="281">
        <v>4102</v>
      </c>
      <c r="BP75" s="282" t="s">
        <v>576</v>
      </c>
      <c r="BQ75" s="283">
        <f>insumos!$H$115*3</f>
        <v>0.099</v>
      </c>
      <c r="BR75" s="300" t="s">
        <v>526</v>
      </c>
      <c r="BS75" s="245"/>
      <c r="BT75" s="245"/>
      <c r="BU75" s="245"/>
      <c r="BV75" s="245"/>
      <c r="BW75" s="245"/>
      <c r="BX75" s="245"/>
      <c r="BY75" s="292"/>
      <c r="BZ75" s="279" t="s">
        <v>553</v>
      </c>
      <c r="CA75" s="293"/>
      <c r="CC75" s="245"/>
      <c r="CD75" s="281">
        <v>6229</v>
      </c>
      <c r="CE75" s="30" t="s">
        <v>588</v>
      </c>
      <c r="CF75" s="283">
        <f>insumos!$I$265*9</f>
        <v>0.19369139986822123</v>
      </c>
      <c r="CG75" s="296" t="s">
        <v>579</v>
      </c>
      <c r="CH75" s="245"/>
      <c r="CI75" s="26" t="s">
        <v>566</v>
      </c>
      <c r="CJ75" s="30" t="s">
        <v>567</v>
      </c>
      <c r="CK75" s="283">
        <f>insumos!$H$113*12</f>
        <v>0.32411344634605743</v>
      </c>
      <c r="CL75" s="300" t="s">
        <v>568</v>
      </c>
      <c r="CM75" s="245"/>
      <c r="CN75" s="281">
        <v>5202</v>
      </c>
      <c r="CO75" s="282" t="s">
        <v>586</v>
      </c>
      <c r="CP75" s="31">
        <f>insumos!$H$114*16</f>
        <v>0.4215161904761905</v>
      </c>
      <c r="CQ75" s="296" t="s">
        <v>580</v>
      </c>
      <c r="CR75" s="245"/>
      <c r="CS75" s="297"/>
      <c r="CT75" s="298" t="s">
        <v>5</v>
      </c>
      <c r="CU75" s="299">
        <f>SUM(CU64:CU74)</f>
        <v>6.68546318560119</v>
      </c>
      <c r="CW75" s="245"/>
      <c r="CX75" s="245"/>
      <c r="CY75" s="245"/>
      <c r="CZ75" s="245"/>
      <c r="DA75" s="245"/>
      <c r="DB75" s="245"/>
      <c r="DC75" s="245"/>
      <c r="DD75" s="245"/>
      <c r="DE75" s="245"/>
      <c r="DF75" s="245"/>
      <c r="DG75" s="245"/>
      <c r="DH75" s="281"/>
      <c r="DI75" s="307" t="s">
        <v>599</v>
      </c>
      <c r="DJ75" s="308">
        <f>+DJ73/DJ74</f>
        <v>0.29574537815822177</v>
      </c>
      <c r="DK75" s="245"/>
      <c r="DL75" s="245"/>
      <c r="DM75" s="281"/>
      <c r="DN75" s="282"/>
      <c r="DO75" s="283"/>
      <c r="DP75" s="300"/>
      <c r="DQ75" s="291"/>
      <c r="DR75" s="291"/>
      <c r="DS75" s="291"/>
      <c r="DT75" s="291"/>
      <c r="DU75" s="291"/>
      <c r="DV75" s="291"/>
      <c r="DW75" s="285"/>
      <c r="DX75" s="285"/>
      <c r="DY75" s="285"/>
      <c r="DZ75" s="291"/>
      <c r="EA75" s="291"/>
      <c r="EB75" s="291"/>
      <c r="EC75" s="245"/>
      <c r="ED75" s="245"/>
      <c r="EE75" s="245"/>
    </row>
    <row r="76" spans="1:135" x14ac:dyDescent="0.25">
      <c r="A76" s="245"/>
      <c r="B76" s="294"/>
      <c r="C76" s="279" t="s">
        <v>553</v>
      </c>
      <c r="D76" s="295"/>
      <c r="E76" s="245"/>
      <c r="F76" s="1"/>
      <c r="G76" s="281">
        <v>5523</v>
      </c>
      <c r="H76" s="282" t="s">
        <v>508</v>
      </c>
      <c r="I76" s="283">
        <f>+insumos!$H$285</f>
        <v>1.1829611337771098</v>
      </c>
      <c r="J76" s="284"/>
      <c r="K76" s="285"/>
      <c r="L76" s="26" t="s">
        <v>513</v>
      </c>
      <c r="M76" s="30" t="s">
        <v>514</v>
      </c>
      <c r="N76" s="283">
        <f>+insumos!$H$266</f>
        <v>1.1500000000000001</v>
      </c>
      <c r="O76" s="285"/>
      <c r="P76" s="245"/>
      <c r="Q76" s="26">
        <v>3817</v>
      </c>
      <c r="R76" s="243" t="s">
        <v>524</v>
      </c>
      <c r="S76" s="289">
        <f>insumos!$I$103*1.8</f>
        <v>0.02088</v>
      </c>
      <c r="T76" s="285" t="s">
        <v>538</v>
      </c>
      <c r="U76" s="245"/>
      <c r="V76" s="281">
        <v>3636</v>
      </c>
      <c r="W76" s="282" t="s">
        <v>550</v>
      </c>
      <c r="X76" s="283">
        <f>+insumos!H185</f>
        <v>0.09799999999999999</v>
      </c>
      <c r="Y76" s="245"/>
      <c r="Z76" s="245"/>
      <c r="AA76" s="281">
        <v>2037</v>
      </c>
      <c r="AB76" s="282" t="s">
        <v>511</v>
      </c>
      <c r="AC76" s="283">
        <f>+insumos!$H$268</f>
        <v>0.65</v>
      </c>
      <c r="AD76" s="245"/>
      <c r="AE76" s="245"/>
      <c r="AF76" s="245"/>
      <c r="AG76" s="245"/>
      <c r="AH76" s="245"/>
      <c r="AI76" s="245"/>
      <c r="AJ76" s="245"/>
      <c r="AK76" s="281">
        <v>3759</v>
      </c>
      <c r="AL76" s="1" t="s">
        <v>507</v>
      </c>
      <c r="AM76" s="283">
        <f>+insumos!$G$284</f>
        <v>1.1352416613292604</v>
      </c>
      <c r="AN76" s="245"/>
      <c r="AO76" s="245"/>
      <c r="AP76" s="297"/>
      <c r="AQ76" s="298" t="s">
        <v>5</v>
      </c>
      <c r="AR76" s="299">
        <f>SUM(AR64:AR75)</f>
        <v>4.140246548993342</v>
      </c>
      <c r="AT76" s="245"/>
      <c r="AU76" s="245"/>
      <c r="AV76" s="245"/>
      <c r="AW76" s="245"/>
      <c r="AX76" s="245"/>
      <c r="AY76" s="245"/>
      <c r="AZ76" s="281">
        <v>6229</v>
      </c>
      <c r="BA76" s="30" t="s">
        <v>588</v>
      </c>
      <c r="BB76" s="283">
        <f>insumos!$I$265*9</f>
        <v>0.19369139986822123</v>
      </c>
      <c r="BC76" s="300" t="s">
        <v>579</v>
      </c>
      <c r="BD76" s="291"/>
      <c r="BE76" s="281">
        <v>6229</v>
      </c>
      <c r="BF76" s="30" t="s">
        <v>588</v>
      </c>
      <c r="BG76" s="283">
        <f>insumos!$I$265*12</f>
        <v>0.25825519982429496</v>
      </c>
      <c r="BH76" s="300" t="s">
        <v>568</v>
      </c>
      <c r="BI76" s="245"/>
      <c r="BJ76" s="245"/>
      <c r="BK76" s="245"/>
      <c r="BL76" s="245"/>
      <c r="BM76" s="245"/>
      <c r="BN76" s="245"/>
      <c r="BO76" s="26" t="s">
        <v>589</v>
      </c>
      <c r="BP76" s="30" t="s">
        <v>590</v>
      </c>
      <c r="BQ76" s="283">
        <f>insumos!$H$80*3</f>
        <v>0.663</v>
      </c>
      <c r="BR76" s="300" t="s">
        <v>526</v>
      </c>
      <c r="BS76" s="245"/>
      <c r="BT76" s="245"/>
      <c r="BU76" s="245"/>
      <c r="BV76" s="245"/>
      <c r="BW76" s="245"/>
      <c r="BX76" s="245"/>
      <c r="BY76" s="281">
        <v>6208</v>
      </c>
      <c r="BZ76" s="282" t="s">
        <v>573</v>
      </c>
      <c r="CA76" s="283">
        <f>insumos!$H$188*12</f>
        <v>1.0929882352941176</v>
      </c>
      <c r="CB76" s="300" t="s">
        <v>568</v>
      </c>
      <c r="CC76" s="245"/>
      <c r="CD76" s="281">
        <v>6254</v>
      </c>
      <c r="CE76" s="30" t="s">
        <v>600</v>
      </c>
      <c r="CF76" s="283">
        <f>+insumos!$I$208*9</f>
        <v>0.40011704877760473</v>
      </c>
      <c r="CG76" s="296" t="s">
        <v>579</v>
      </c>
      <c r="CH76" s="245"/>
      <c r="CI76" s="281">
        <v>6229</v>
      </c>
      <c r="CJ76" s="30" t="s">
        <v>588</v>
      </c>
      <c r="CK76" s="283">
        <f>insumos!$I$265*12</f>
        <v>0.25825519982429496</v>
      </c>
      <c r="CL76" s="300" t="s">
        <v>568</v>
      </c>
      <c r="CM76" s="245"/>
      <c r="CN76" s="26" t="s">
        <v>558</v>
      </c>
      <c r="CO76" s="1" t="s">
        <v>559</v>
      </c>
      <c r="CP76" s="31">
        <f>insumos!$H$65*16</f>
        <v>2.207996753764329</v>
      </c>
      <c r="CQ76" s="296" t="s">
        <v>580</v>
      </c>
      <c r="CR76" s="245"/>
      <c r="CS76" s="281"/>
      <c r="CT76" s="282" t="s">
        <v>587</v>
      </c>
      <c r="CU76" s="304">
        <v>11.45</v>
      </c>
      <c r="CW76" s="245"/>
      <c r="CX76" s="245"/>
      <c r="CY76" s="245"/>
      <c r="CZ76" s="245"/>
      <c r="DA76" s="245"/>
      <c r="DB76" s="245"/>
      <c r="DC76" s="245"/>
      <c r="DD76" s="245"/>
      <c r="DE76" s="245"/>
      <c r="DF76" s="245"/>
      <c r="DG76" s="245"/>
      <c r="DH76" s="311"/>
      <c r="DI76" s="307" t="s">
        <v>604</v>
      </c>
      <c r="DJ76" s="308">
        <f>DJ75*1.03</f>
        <v>0.30461773950296844</v>
      </c>
      <c r="DK76" s="296"/>
      <c r="DL76" s="245"/>
      <c r="DM76" s="281">
        <v>6229</v>
      </c>
      <c r="DN76" s="30" t="s">
        <v>588</v>
      </c>
      <c r="DO76" s="283">
        <f>insumos!$I$265*12</f>
        <v>0.25825519982429496</v>
      </c>
      <c r="DP76" s="300" t="s">
        <v>568</v>
      </c>
      <c r="DQ76" s="291"/>
      <c r="DR76" s="291"/>
      <c r="DS76" s="291"/>
      <c r="DT76" s="291"/>
      <c r="DU76" s="291"/>
      <c r="DV76" s="291"/>
      <c r="DW76" s="285"/>
      <c r="DX76" s="285"/>
      <c r="DY76" s="285"/>
      <c r="DZ76" s="291"/>
      <c r="EA76" s="291"/>
      <c r="EB76" s="291"/>
      <c r="EC76" s="245"/>
      <c r="ED76" s="245"/>
      <c r="EE76" s="245"/>
    </row>
    <row r="77" spans="1:135" x14ac:dyDescent="0.25">
      <c r="A77" s="245"/>
      <c r="B77" s="281">
        <v>6206</v>
      </c>
      <c r="C77" s="282" t="s">
        <v>573</v>
      </c>
      <c r="D77" s="31">
        <f>insumos!$H$186*12</f>
        <v>1.1007316804407712</v>
      </c>
      <c r="E77" s="296" t="s">
        <v>568</v>
      </c>
      <c r="F77" s="1"/>
      <c r="G77" s="281">
        <v>4542</v>
      </c>
      <c r="H77" s="282" t="s">
        <v>527</v>
      </c>
      <c r="I77" s="283">
        <f>insumos!$I$35</f>
        <v>0.022058823529411763</v>
      </c>
      <c r="J77" s="284"/>
      <c r="K77" s="285"/>
      <c r="L77" s="281">
        <v>4542</v>
      </c>
      <c r="M77" s="286" t="s">
        <v>527</v>
      </c>
      <c r="N77" s="283">
        <f>insumos!$I$35</f>
        <v>0.022058823529411763</v>
      </c>
      <c r="O77" s="285"/>
      <c r="P77" s="245"/>
      <c r="Q77" s="26">
        <v>2173</v>
      </c>
      <c r="R77" s="243" t="s">
        <v>536</v>
      </c>
      <c r="S77" s="289">
        <f>+insumos!$H$149*2</f>
        <v>0.0349502662966019</v>
      </c>
      <c r="T77" s="1" t="s">
        <v>547</v>
      </c>
      <c r="U77" s="245"/>
      <c r="V77" s="292"/>
      <c r="W77" s="279" t="s">
        <v>553</v>
      </c>
      <c r="X77" s="293"/>
      <c r="Y77" s="245"/>
      <c r="Z77" s="245"/>
      <c r="AA77" s="281">
        <v>4542</v>
      </c>
      <c r="AB77" s="282" t="s">
        <v>527</v>
      </c>
      <c r="AC77" s="283">
        <f>insumos!$I$35</f>
        <v>0.022058823529411763</v>
      </c>
      <c r="AD77" s="245"/>
      <c r="AE77" s="245"/>
      <c r="AF77" s="245"/>
      <c r="AG77" s="245"/>
      <c r="AH77" s="245"/>
      <c r="AI77" s="245"/>
      <c r="AJ77" s="245"/>
      <c r="AK77" s="281">
        <v>4541</v>
      </c>
      <c r="AL77" s="282" t="s">
        <v>528</v>
      </c>
      <c r="AM77" s="283">
        <f>insumos!$H$43</f>
        <v>0.022058823529411766</v>
      </c>
      <c r="AN77" s="1"/>
      <c r="AO77" s="245"/>
      <c r="AP77" s="281"/>
      <c r="AQ77" s="282" t="s">
        <v>587</v>
      </c>
      <c r="AR77" s="304">
        <f>195.35/26</f>
        <v>7.513461538461538</v>
      </c>
      <c r="AT77" s="245"/>
      <c r="AU77" s="245"/>
      <c r="AV77" s="245"/>
      <c r="AW77" s="245"/>
      <c r="AX77" s="245"/>
      <c r="AY77" s="245"/>
      <c r="AZ77" s="281">
        <v>6254</v>
      </c>
      <c r="BA77" s="30" t="s">
        <v>600</v>
      </c>
      <c r="BB77" s="283">
        <f>+insumos!$I$208*9</f>
        <v>0.40011704877760473</v>
      </c>
      <c r="BC77" s="300" t="s">
        <v>579</v>
      </c>
      <c r="BD77" s="291"/>
      <c r="BE77" s="281">
        <v>6254</v>
      </c>
      <c r="BF77" s="30" t="s">
        <v>600</v>
      </c>
      <c r="BG77" s="283">
        <f>+insumos!$I$208*12</f>
        <v>0.5334893983701396</v>
      </c>
      <c r="BH77" s="300" t="s">
        <v>568</v>
      </c>
      <c r="BI77" s="245"/>
      <c r="BJ77" s="245"/>
      <c r="BK77" s="245"/>
      <c r="BL77" s="245"/>
      <c r="BM77" s="245"/>
      <c r="BN77" s="245"/>
      <c r="BO77" s="281"/>
      <c r="BP77" s="30"/>
      <c r="BQ77" s="283"/>
      <c r="BR77" s="300"/>
      <c r="BS77" s="245"/>
      <c r="BT77" s="245"/>
      <c r="BU77" s="245"/>
      <c r="BV77" s="245"/>
      <c r="BW77" s="245"/>
      <c r="BX77" s="245"/>
      <c r="BY77" s="281">
        <v>5202</v>
      </c>
      <c r="BZ77" s="282" t="s">
        <v>586</v>
      </c>
      <c r="CA77" s="283">
        <f>insumos!$H$114*12</f>
        <v>0.3161371428571429</v>
      </c>
      <c r="CB77" s="300" t="s">
        <v>568</v>
      </c>
      <c r="CC77" s="245"/>
      <c r="CD77" s="26" t="s">
        <v>606</v>
      </c>
      <c r="CE77" s="30" t="s">
        <v>607</v>
      </c>
      <c r="CF77" s="283">
        <f>insumos!$H$197*9</f>
        <v>1.3087058823529412</v>
      </c>
      <c r="CG77" s="296" t="s">
        <v>579</v>
      </c>
      <c r="CH77" s="245"/>
      <c r="CI77" s="281">
        <v>6254</v>
      </c>
      <c r="CJ77" s="30" t="s">
        <v>600</v>
      </c>
      <c r="CK77" s="283">
        <f>+insumos!$I$208*12</f>
        <v>0.5334893983701396</v>
      </c>
      <c r="CL77" s="300" t="s">
        <v>568</v>
      </c>
      <c r="CM77" s="245"/>
      <c r="CN77" s="297"/>
      <c r="CO77" s="298" t="s">
        <v>5</v>
      </c>
      <c r="CP77" s="299">
        <f>SUM(CP66:CP76)</f>
        <v>6.477136845065219</v>
      </c>
      <c r="CR77" s="245"/>
      <c r="CS77" s="281"/>
      <c r="CT77" s="307" t="s">
        <v>599</v>
      </c>
      <c r="CU77" s="308">
        <f>+CU75/CU76</f>
        <v>0.5838832476507589</v>
      </c>
      <c r="CV77" s="245"/>
      <c r="CW77" s="245"/>
      <c r="CX77" s="245"/>
      <c r="CY77" s="245"/>
      <c r="CZ77" s="245"/>
      <c r="DA77" s="245"/>
      <c r="DB77" s="245"/>
      <c r="DC77" s="245"/>
      <c r="DD77" s="245"/>
      <c r="DE77" s="245"/>
      <c r="DF77" s="245"/>
      <c r="DG77" s="245"/>
      <c r="DH77" s="245"/>
      <c r="DI77" s="245"/>
      <c r="DJ77" s="245"/>
      <c r="DK77" s="245"/>
      <c r="DL77" s="245"/>
      <c r="DM77" s="281">
        <v>6254</v>
      </c>
      <c r="DN77" s="30" t="s">
        <v>600</v>
      </c>
      <c r="DO77" s="283">
        <f>+insumos!$I$208*12</f>
        <v>0.5334893983701396</v>
      </c>
      <c r="DP77" s="300" t="s">
        <v>568</v>
      </c>
      <c r="DQ77" s="291"/>
      <c r="DR77" s="291"/>
      <c r="DS77" s="291"/>
      <c r="DT77" s="291"/>
      <c r="DU77" s="291"/>
      <c r="DV77" s="291"/>
      <c r="DW77" s="291"/>
      <c r="DX77" s="291"/>
      <c r="DY77" s="291"/>
      <c r="DZ77" s="291"/>
      <c r="EA77" s="291"/>
      <c r="EB77" s="291"/>
      <c r="EC77" s="245"/>
      <c r="ED77" s="245"/>
      <c r="EE77" s="245"/>
    </row>
    <row r="78" spans="1:135" x14ac:dyDescent="0.25">
      <c r="A78" s="245"/>
      <c r="B78" s="281">
        <v>5202</v>
      </c>
      <c r="C78" s="282" t="s">
        <v>586</v>
      </c>
      <c r="D78" s="31">
        <f>insumos!$H$114*12</f>
        <v>0.3161371428571429</v>
      </c>
      <c r="E78" s="296" t="s">
        <v>568</v>
      </c>
      <c r="F78" s="245"/>
      <c r="G78" s="26">
        <v>3817</v>
      </c>
      <c r="H78" s="243" t="s">
        <v>524</v>
      </c>
      <c r="I78" s="289">
        <f>insumos!$I$103*1.8</f>
        <v>0.02088</v>
      </c>
      <c r="J78" s="290" t="s">
        <v>537</v>
      </c>
      <c r="K78" s="290"/>
      <c r="L78" s="26">
        <v>3817</v>
      </c>
      <c r="M78" s="288" t="s">
        <v>524</v>
      </c>
      <c r="N78" s="289">
        <f>insumos!$I$103*1.8</f>
        <v>0.02088</v>
      </c>
      <c r="O78" s="290" t="s">
        <v>537</v>
      </c>
      <c r="P78" s="245"/>
      <c r="Q78" s="281">
        <v>3636</v>
      </c>
      <c r="R78" s="282" t="s">
        <v>550</v>
      </c>
      <c r="S78" s="283">
        <f>+insumos!$H$121</f>
        <v>0.0445</v>
      </c>
      <c r="T78" s="245"/>
      <c r="U78" s="245"/>
      <c r="V78" s="26" t="s">
        <v>653</v>
      </c>
      <c r="W78" s="30" t="s">
        <v>654</v>
      </c>
      <c r="X78" s="283">
        <f>insumos!$H$224*10</f>
        <v>1</v>
      </c>
      <c r="Y78" s="1" t="s">
        <v>563</v>
      </c>
      <c r="Z78" s="245"/>
      <c r="AA78" s="26">
        <v>3817</v>
      </c>
      <c r="AB78" s="243" t="s">
        <v>524</v>
      </c>
      <c r="AC78" s="289">
        <f>insumos!$I$103*1.8</f>
        <v>0.02088</v>
      </c>
      <c r="AD78" s="285" t="s">
        <v>538</v>
      </c>
      <c r="AE78" s="245"/>
      <c r="AF78" s="245"/>
      <c r="AG78" s="245"/>
      <c r="AH78" s="245"/>
      <c r="AI78" s="245"/>
      <c r="AJ78" s="245"/>
      <c r="AK78" s="26">
        <v>3817</v>
      </c>
      <c r="AL78" s="243" t="s">
        <v>524</v>
      </c>
      <c r="AM78" s="289">
        <f>insumos!$I$103*1.8</f>
        <v>0.02088</v>
      </c>
      <c r="AN78" s="285" t="s">
        <v>538</v>
      </c>
      <c r="AO78" s="245"/>
      <c r="AP78" s="281"/>
      <c r="AQ78" s="307" t="s">
        <v>599</v>
      </c>
      <c r="AR78" s="308">
        <f>+AR76/AR77</f>
        <v>0.5510438201885175</v>
      </c>
      <c r="AS78" s="245"/>
      <c r="AT78" s="245"/>
      <c r="AU78" s="245"/>
      <c r="AV78" s="245"/>
      <c r="AW78" s="245"/>
      <c r="AX78" s="245"/>
      <c r="AY78" s="245"/>
      <c r="AZ78" s="26" t="s">
        <v>606</v>
      </c>
      <c r="BA78" s="30" t="s">
        <v>607</v>
      </c>
      <c r="BB78" s="283">
        <f>insumos!$H$197*9</f>
        <v>1.3087058823529412</v>
      </c>
      <c r="BC78" s="300" t="s">
        <v>579</v>
      </c>
      <c r="BD78" s="291"/>
      <c r="BE78" s="26" t="s">
        <v>608</v>
      </c>
      <c r="BF78" s="30" t="s">
        <v>609</v>
      </c>
      <c r="BG78" s="283">
        <f>insumos!$H$176*12</f>
        <v>0.648</v>
      </c>
      <c r="BH78" s="300" t="s">
        <v>568</v>
      </c>
      <c r="BI78" s="245"/>
      <c r="BJ78" s="245"/>
      <c r="BK78" s="245"/>
      <c r="BL78" s="245"/>
      <c r="BM78" s="245"/>
      <c r="BN78" s="245"/>
      <c r="BO78" s="26"/>
      <c r="BP78" s="30"/>
      <c r="BQ78" s="283"/>
      <c r="BR78" s="300"/>
      <c r="BS78" s="245"/>
      <c r="BT78" s="245"/>
      <c r="BU78" s="245"/>
      <c r="BV78" s="245"/>
      <c r="BW78" s="245"/>
      <c r="BX78" s="245"/>
      <c r="BY78" s="281">
        <v>6229</v>
      </c>
      <c r="BZ78" s="30" t="s">
        <v>588</v>
      </c>
      <c r="CA78" s="283">
        <f>insumos!$I$265*12</f>
        <v>0.25825519982429496</v>
      </c>
      <c r="CB78" s="300" t="s">
        <v>568</v>
      </c>
      <c r="CC78" s="245"/>
      <c r="CD78" s="297"/>
      <c r="CE78" s="298" t="s">
        <v>5</v>
      </c>
      <c r="CF78" s="299">
        <f>SUM(CF66:CF77)</f>
        <v>4.779516507406019</v>
      </c>
      <c r="CG78" s="300"/>
      <c r="CH78" s="245"/>
      <c r="CI78" s="26" t="s">
        <v>675</v>
      </c>
      <c r="CJ78" s="30" t="s">
        <v>676</v>
      </c>
      <c r="CK78" s="283">
        <f>insumos!$H$194*12</f>
        <v>2.4000000000000004</v>
      </c>
      <c r="CL78" s="300" t="s">
        <v>568</v>
      </c>
      <c r="CM78" s="245"/>
      <c r="CN78" s="281"/>
      <c r="CO78" s="282" t="s">
        <v>587</v>
      </c>
      <c r="CP78" s="304">
        <f>1992.58/164</f>
        <v>12.149878048780486</v>
      </c>
      <c r="CR78" s="245"/>
      <c r="CS78" s="311"/>
      <c r="CT78" s="307" t="s">
        <v>604</v>
      </c>
      <c r="CU78" s="308">
        <f>CU77*1.03</f>
        <v>0.6013997450802817</v>
      </c>
      <c r="CV78" s="245"/>
      <c r="CW78" s="245"/>
      <c r="CX78" s="245"/>
      <c r="CY78" s="245"/>
      <c r="CZ78" s="245"/>
      <c r="DA78" s="245"/>
      <c r="DB78" s="245"/>
      <c r="DC78" s="245"/>
      <c r="DD78" s="245"/>
      <c r="DE78" s="245"/>
      <c r="DF78" s="245"/>
      <c r="DG78" s="245"/>
      <c r="DH78" s="245"/>
      <c r="DI78" s="245"/>
      <c r="DJ78" s="245"/>
      <c r="DK78" s="245"/>
      <c r="DL78" s="245"/>
      <c r="DM78" s="281">
        <v>5868</v>
      </c>
      <c r="DN78" s="30" t="s">
        <v>605</v>
      </c>
      <c r="DO78" s="283">
        <f>insumos!$I$243*12</f>
        <v>0.22752</v>
      </c>
      <c r="DP78" s="300" t="s">
        <v>568</v>
      </c>
      <c r="DQ78" s="291"/>
      <c r="DR78" s="291"/>
      <c r="DS78" s="291"/>
      <c r="DT78" s="291"/>
      <c r="DU78" s="291"/>
      <c r="DV78" s="291"/>
      <c r="DW78" s="291"/>
      <c r="DX78" s="291"/>
      <c r="DY78" s="291"/>
      <c r="DZ78" s="291"/>
      <c r="EA78" s="291"/>
      <c r="EB78" s="291"/>
      <c r="EC78" s="245"/>
      <c r="ED78" s="245"/>
      <c r="EE78" s="245"/>
    </row>
    <row r="79" spans="1:135" x14ac:dyDescent="0.25">
      <c r="A79" s="245"/>
      <c r="B79" s="281">
        <v>6229</v>
      </c>
      <c r="C79" s="30" t="s">
        <v>588</v>
      </c>
      <c r="D79" s="31">
        <f>insumos!$I$265*12</f>
        <v>0.25825519982429496</v>
      </c>
      <c r="E79" s="296" t="s">
        <v>568</v>
      </c>
      <c r="F79" s="245"/>
      <c r="G79" s="26">
        <v>2173</v>
      </c>
      <c r="H79" s="243" t="s">
        <v>536</v>
      </c>
      <c r="I79" s="289">
        <f>+insumos!$H$149*2</f>
        <v>0.0349502662966019</v>
      </c>
      <c r="J79" s="291" t="s">
        <v>547</v>
      </c>
      <c r="K79" s="291"/>
      <c r="L79" s="26">
        <v>2173</v>
      </c>
      <c r="M79" s="288" t="s">
        <v>536</v>
      </c>
      <c r="N79" s="289">
        <f>+insumos!$H$149*2</f>
        <v>0.0349502662966019</v>
      </c>
      <c r="O79" s="291" t="s">
        <v>547</v>
      </c>
      <c r="P79" s="245"/>
      <c r="Q79" s="292"/>
      <c r="R79" s="279" t="s">
        <v>553</v>
      </c>
      <c r="S79" s="293"/>
      <c r="T79" s="245"/>
      <c r="U79" s="245"/>
      <c r="V79" s="297"/>
      <c r="W79" s="298" t="s">
        <v>5</v>
      </c>
      <c r="X79" s="299">
        <f>SUM(X71:X78)</f>
        <v>2.425889089826014</v>
      </c>
      <c r="Y79" s="245"/>
      <c r="Z79" s="245"/>
      <c r="AA79" s="26">
        <v>2173</v>
      </c>
      <c r="AB79" s="243" t="s">
        <v>536</v>
      </c>
      <c r="AC79" s="289">
        <f>+insumos!$H$149*2</f>
        <v>0.0349502662966019</v>
      </c>
      <c r="AD79" s="1" t="s">
        <v>547</v>
      </c>
      <c r="AE79" s="245"/>
      <c r="AF79" s="245"/>
      <c r="AG79" s="245"/>
      <c r="AH79" s="245"/>
      <c r="AI79" s="245"/>
      <c r="AJ79" s="245"/>
      <c r="AK79" s="26">
        <v>2173</v>
      </c>
      <c r="AL79" s="243" t="s">
        <v>536</v>
      </c>
      <c r="AM79" s="289">
        <f>+insumos!$H$149*2</f>
        <v>0.0349502662966019</v>
      </c>
      <c r="AN79" s="1" t="s">
        <v>547</v>
      </c>
      <c r="AO79" s="245"/>
      <c r="AP79" s="311"/>
      <c r="AQ79" s="307" t="s">
        <v>604</v>
      </c>
      <c r="AR79" s="308">
        <f>AR78*1.03</f>
        <v>0.567575134794173</v>
      </c>
      <c r="AS79" s="245"/>
      <c r="AT79" s="245"/>
      <c r="AU79" s="245"/>
      <c r="AV79" s="245"/>
      <c r="AW79" s="245"/>
      <c r="AX79" s="245"/>
      <c r="AY79" s="245"/>
      <c r="AZ79" s="297"/>
      <c r="BA79" s="298" t="s">
        <v>5</v>
      </c>
      <c r="BB79" s="299">
        <f>SUM(BB67:BB78)</f>
        <v>4.643431543733473</v>
      </c>
      <c r="BC79" s="300"/>
      <c r="BD79" s="291"/>
      <c r="BE79" s="297"/>
      <c r="BF79" s="298" t="s">
        <v>5</v>
      </c>
      <c r="BG79" s="299">
        <f>SUM(BG67:BG78)</f>
        <v>4.700528598034435</v>
      </c>
      <c r="BH79" s="300"/>
      <c r="BI79" s="245"/>
      <c r="BJ79" s="245"/>
      <c r="BK79" s="245"/>
      <c r="BL79" s="245"/>
      <c r="BM79" s="245"/>
      <c r="BN79" s="245"/>
      <c r="BO79" s="297"/>
      <c r="BP79" s="298" t="s">
        <v>5</v>
      </c>
      <c r="BQ79" s="299">
        <f>SUM(BQ67:BQ78)</f>
        <v>2.776736227353929</v>
      </c>
      <c r="BR79" s="300"/>
      <c r="BS79" s="245"/>
      <c r="BT79" s="245"/>
      <c r="BU79" s="245"/>
      <c r="BV79" s="245"/>
      <c r="BW79" s="245"/>
      <c r="BX79" s="245"/>
      <c r="BY79" s="281">
        <v>6254</v>
      </c>
      <c r="BZ79" s="30" t="s">
        <v>600</v>
      </c>
      <c r="CA79" s="283">
        <f>+insumos!$I$208*12</f>
        <v>0.5334893983701396</v>
      </c>
      <c r="CB79" s="300" t="s">
        <v>568</v>
      </c>
      <c r="CC79" s="245"/>
      <c r="CD79" s="281"/>
      <c r="CE79" s="282" t="s">
        <v>587</v>
      </c>
      <c r="CF79" s="304">
        <v>6.69</v>
      </c>
      <c r="CG79" s="269"/>
      <c r="CH79" s="245"/>
      <c r="CI79" s="297"/>
      <c r="CJ79" s="298" t="s">
        <v>5</v>
      </c>
      <c r="CK79" s="299">
        <f>SUM(CK67:CK78)</f>
        <v>6.633052206150585</v>
      </c>
      <c r="CM79" s="245"/>
      <c r="CN79" s="281"/>
      <c r="CO79" s="307" t="s">
        <v>599</v>
      </c>
      <c r="CP79" s="308">
        <f>+CP77/CP78</f>
        <v>0.5331030335498179</v>
      </c>
      <c r="CQ79" s="245"/>
      <c r="CR79" s="245"/>
      <c r="CS79" s="245"/>
      <c r="CT79" s="245"/>
      <c r="CU79" s="245"/>
      <c r="CV79" s="245"/>
      <c r="CW79" s="245"/>
      <c r="CX79" s="245"/>
      <c r="CY79" s="245"/>
      <c r="CZ79" s="245"/>
      <c r="DA79" s="245"/>
      <c r="DB79" s="245"/>
      <c r="DC79" s="245"/>
      <c r="DD79" s="245"/>
      <c r="DE79" s="245"/>
      <c r="DF79" s="245"/>
      <c r="DG79" s="245"/>
      <c r="DH79" s="245"/>
      <c r="DI79" s="245"/>
      <c r="DJ79" s="245"/>
      <c r="DK79" s="245"/>
      <c r="DL79" s="245"/>
      <c r="DM79" s="297"/>
      <c r="DN79" s="298" t="s">
        <v>5</v>
      </c>
      <c r="DO79" s="299">
        <f>SUM(DO67:DO78)</f>
        <v>3.792399936275115</v>
      </c>
      <c r="DP79" s="300"/>
      <c r="DQ79" s="291"/>
      <c r="DR79" s="291"/>
      <c r="DS79" s="291"/>
      <c r="DT79" s="291"/>
      <c r="DU79" s="291"/>
      <c r="DV79" s="291"/>
      <c r="DW79" s="291"/>
      <c r="DX79" s="291"/>
      <c r="DY79" s="291"/>
      <c r="DZ79" s="291"/>
      <c r="EA79" s="291"/>
      <c r="EB79" s="291"/>
      <c r="EC79" s="245"/>
      <c r="ED79" s="245"/>
      <c r="EE79" s="245"/>
    </row>
    <row r="80" spans="1:135" x14ac:dyDescent="0.25">
      <c r="A80" s="245"/>
      <c r="B80" s="281">
        <v>6254</v>
      </c>
      <c r="C80" s="30" t="s">
        <v>600</v>
      </c>
      <c r="D80" s="31">
        <f>+insumos!$I$208*12</f>
        <v>0.5334893983701396</v>
      </c>
      <c r="E80" s="296" t="s">
        <v>568</v>
      </c>
      <c r="F80" s="296"/>
      <c r="G80" s="281">
        <v>3636</v>
      </c>
      <c r="H80" s="282" t="s">
        <v>550</v>
      </c>
      <c r="I80" s="283">
        <f>+insumos!$H$121</f>
        <v>0.0445</v>
      </c>
      <c r="J80" s="284"/>
      <c r="K80" s="285"/>
      <c r="L80" s="281">
        <v>3636</v>
      </c>
      <c r="M80" s="286" t="s">
        <v>550</v>
      </c>
      <c r="N80" s="283">
        <f>+insumos!$H$121</f>
        <v>0.0445</v>
      </c>
      <c r="O80" s="285"/>
      <c r="P80" s="245"/>
      <c r="Q80" s="26" t="s">
        <v>735</v>
      </c>
      <c r="R80" s="1" t="s">
        <v>736</v>
      </c>
      <c r="S80" s="283">
        <f>insumos!$H$63*16</f>
        <v>1.088</v>
      </c>
      <c r="T80" s="1" t="s">
        <v>580</v>
      </c>
      <c r="U80" s="245"/>
      <c r="V80" s="281"/>
      <c r="W80" s="282" t="s">
        <v>587</v>
      </c>
      <c r="X80" s="281">
        <v>20.39</v>
      </c>
      <c r="Y80" s="245"/>
      <c r="Z80" s="245"/>
      <c r="AA80" s="281">
        <v>3636</v>
      </c>
      <c r="AB80" s="282" t="s">
        <v>550</v>
      </c>
      <c r="AC80" s="283">
        <f>+insumos!$H$121</f>
        <v>0.0445</v>
      </c>
      <c r="AD80" s="245"/>
      <c r="AE80" s="245"/>
      <c r="AF80" s="245"/>
      <c r="AG80" s="245"/>
      <c r="AH80" s="245"/>
      <c r="AI80" s="245"/>
      <c r="AJ80" s="245"/>
      <c r="AK80" s="281">
        <v>3636</v>
      </c>
      <c r="AL80" s="282" t="s">
        <v>550</v>
      </c>
      <c r="AM80" s="283">
        <f>+insumos!$H$121</f>
        <v>0.0445</v>
      </c>
      <c r="AN80" s="245"/>
      <c r="AO80" s="245"/>
      <c r="AS80" s="245"/>
      <c r="AT80" s="245"/>
      <c r="AU80" s="245"/>
      <c r="AV80" s="245"/>
      <c r="AW80" s="245"/>
      <c r="AX80" s="245"/>
      <c r="AY80" s="245"/>
      <c r="AZ80" s="281"/>
      <c r="BA80" s="282" t="s">
        <v>587</v>
      </c>
      <c r="BB80" s="304">
        <f>1979.78/374</f>
        <v>5.293529411764705</v>
      </c>
      <c r="BC80" s="269"/>
      <c r="BD80" s="245"/>
      <c r="BE80" s="281"/>
      <c r="BF80" s="282" t="s">
        <v>587</v>
      </c>
      <c r="BG80" s="304">
        <f>3025.3/306</f>
        <v>9.886601307189544</v>
      </c>
      <c r="BH80" s="269"/>
      <c r="BI80" s="245"/>
      <c r="BJ80" s="245"/>
      <c r="BK80" s="245"/>
      <c r="BL80" s="245"/>
      <c r="BM80" s="245"/>
      <c r="BN80" s="245"/>
      <c r="BO80" s="281"/>
      <c r="BP80" s="282" t="s">
        <v>587</v>
      </c>
      <c r="BQ80" s="304">
        <v>11.43</v>
      </c>
      <c r="BR80" s="269"/>
      <c r="BS80" s="245"/>
      <c r="BT80" s="245"/>
      <c r="BU80" s="245"/>
      <c r="BV80" s="245"/>
      <c r="BW80" s="245"/>
      <c r="BX80" s="245"/>
      <c r="BY80" s="281">
        <v>5868</v>
      </c>
      <c r="BZ80" s="30" t="s">
        <v>605</v>
      </c>
      <c r="CA80" s="283">
        <f>insumos!$I$243*12</f>
        <v>0.22752</v>
      </c>
      <c r="CB80" s="300" t="s">
        <v>568</v>
      </c>
      <c r="CC80" s="245"/>
      <c r="CD80" s="281"/>
      <c r="CE80" s="307" t="s">
        <v>599</v>
      </c>
      <c r="CF80" s="308">
        <f>+CF78/CF79</f>
        <v>0.7144269816750402</v>
      </c>
      <c r="CG80" s="269"/>
      <c r="CH80" s="245"/>
      <c r="CI80" s="281"/>
      <c r="CJ80" s="282" t="s">
        <v>587</v>
      </c>
      <c r="CK80" s="304">
        <v>5.44</v>
      </c>
      <c r="CL80" s="245"/>
      <c r="CM80" s="245"/>
      <c r="CN80" s="311"/>
      <c r="CO80" s="307" t="s">
        <v>604</v>
      </c>
      <c r="CP80" s="308">
        <f>CP79*1.03</f>
        <v>0.5490961245563125</v>
      </c>
      <c r="CQ80" s="245"/>
      <c r="CR80" s="245"/>
      <c r="CS80" s="259">
        <v>6172052</v>
      </c>
      <c r="CT80" s="260" t="s">
        <v>737</v>
      </c>
      <c r="CU80" s="259"/>
      <c r="CV80" s="272"/>
      <c r="CW80" s="245"/>
      <c r="CX80" s="245"/>
      <c r="CY80" s="245"/>
      <c r="CZ80" s="245"/>
      <c r="DA80" s="245"/>
      <c r="DB80" s="245"/>
      <c r="DC80" s="245"/>
      <c r="DD80" s="245"/>
      <c r="DE80" s="245"/>
      <c r="DF80" s="245"/>
      <c r="DG80" s="245"/>
      <c r="DH80" s="245"/>
      <c r="DI80" s="245"/>
      <c r="DJ80" s="245"/>
      <c r="DK80" s="245"/>
      <c r="DL80" s="245"/>
      <c r="DM80" s="281"/>
      <c r="DN80" s="282" t="s">
        <v>587</v>
      </c>
      <c r="DO80" s="304">
        <v>4.34</v>
      </c>
      <c r="DP80" s="269"/>
      <c r="DQ80" s="245"/>
      <c r="DR80" s="245"/>
      <c r="DS80" s="245"/>
      <c r="DT80" s="245"/>
      <c r="DU80" s="245"/>
      <c r="DV80" s="245"/>
      <c r="DW80" s="291"/>
      <c r="DX80" s="291"/>
      <c r="DY80" s="291"/>
      <c r="DZ80" s="245"/>
      <c r="EA80" s="245"/>
      <c r="EB80" s="245"/>
      <c r="EC80" s="245"/>
      <c r="ED80" s="245"/>
      <c r="EE80" s="245"/>
    </row>
    <row r="81" spans="1:135" x14ac:dyDescent="0.25">
      <c r="A81" s="245"/>
      <c r="B81" s="281">
        <v>5868</v>
      </c>
      <c r="C81" s="30" t="s">
        <v>605</v>
      </c>
      <c r="D81" s="31">
        <f>+insumos!$I$243*12</f>
        <v>0.22752</v>
      </c>
      <c r="E81" s="1" t="s">
        <v>568</v>
      </c>
      <c r="F81" s="296"/>
      <c r="G81" s="292"/>
      <c r="H81" s="279" t="s">
        <v>553</v>
      </c>
      <c r="I81" s="293"/>
      <c r="J81" s="284"/>
      <c r="K81" s="285"/>
      <c r="L81" s="292"/>
      <c r="M81" s="280" t="s">
        <v>553</v>
      </c>
      <c r="N81" s="293"/>
      <c r="O81" s="285"/>
      <c r="P81" s="245"/>
      <c r="Q81" s="26" t="s">
        <v>658</v>
      </c>
      <c r="R81" s="30" t="s">
        <v>659</v>
      </c>
      <c r="S81" s="283">
        <f>insumos!$H$135*16</f>
        <v>0.328</v>
      </c>
      <c r="T81" s="1" t="s">
        <v>580</v>
      </c>
      <c r="U81" s="245"/>
      <c r="V81" s="281"/>
      <c r="W81" s="307" t="s">
        <v>599</v>
      </c>
      <c r="X81" s="308">
        <f>+X79/X80</f>
        <v>0.11897445266434595</v>
      </c>
      <c r="Y81" s="245"/>
      <c r="Z81" s="245"/>
      <c r="AA81" s="292"/>
      <c r="AB81" s="279" t="s">
        <v>553</v>
      </c>
      <c r="AC81" s="293"/>
      <c r="AD81" s="245"/>
      <c r="AE81" s="245"/>
      <c r="AF81" s="245"/>
      <c r="AG81" s="245"/>
      <c r="AH81" s="245"/>
      <c r="AI81" s="245"/>
      <c r="AJ81" s="245"/>
      <c r="AK81" s="292"/>
      <c r="AL81" s="279" t="s">
        <v>553</v>
      </c>
      <c r="AM81" s="293"/>
      <c r="AN81" s="245"/>
      <c r="AO81" s="245"/>
      <c r="AP81" s="263">
        <v>3673024</v>
      </c>
      <c r="AQ81" s="264" t="s">
        <v>738</v>
      </c>
      <c r="AR81" s="265"/>
      <c r="AS81" s="266"/>
      <c r="AT81" s="245"/>
      <c r="AU81" s="245"/>
      <c r="AV81" s="245"/>
      <c r="AW81" s="245"/>
      <c r="AX81" s="245"/>
      <c r="AY81" s="245"/>
      <c r="AZ81" s="281"/>
      <c r="BA81" s="307" t="s">
        <v>599</v>
      </c>
      <c r="BB81" s="308">
        <f>+BB79/BB80</f>
        <v>0.8771900904930442</v>
      </c>
      <c r="BC81" s="269"/>
      <c r="BD81" s="245"/>
      <c r="BE81" s="281"/>
      <c r="BF81" s="307" t="s">
        <v>599</v>
      </c>
      <c r="BG81" s="308">
        <f>+BG79/BG80</f>
        <v>0.4754443364289614</v>
      </c>
      <c r="BH81" s="269"/>
      <c r="BI81" s="245"/>
      <c r="BJ81" s="245"/>
      <c r="BK81" s="245"/>
      <c r="BL81" s="245"/>
      <c r="BM81" s="245"/>
      <c r="BN81" s="245"/>
      <c r="BO81" s="281"/>
      <c r="BP81" s="307" t="s">
        <v>599</v>
      </c>
      <c r="BQ81" s="308">
        <f>+BQ79/BQ80</f>
        <v>0.2429340531368267</v>
      </c>
      <c r="BR81" s="269"/>
      <c r="BS81" s="245"/>
      <c r="BT81" s="245"/>
      <c r="BU81" s="245"/>
      <c r="BV81" s="245"/>
      <c r="BW81" s="245"/>
      <c r="BX81" s="245"/>
      <c r="BY81" s="297"/>
      <c r="BZ81" s="298" t="s">
        <v>5</v>
      </c>
      <c r="CA81" s="299">
        <f>SUM(CA68:CA80)</f>
        <v>5.1987398366878255</v>
      </c>
      <c r="CB81" s="245"/>
      <c r="CC81" s="245"/>
      <c r="CD81" s="311"/>
      <c r="CE81" s="307" t="s">
        <v>604</v>
      </c>
      <c r="CF81" s="308">
        <f>CF80*1.03</f>
        <v>0.7358597911252914</v>
      </c>
      <c r="CG81" s="269"/>
      <c r="CH81" s="245"/>
      <c r="CI81" s="281"/>
      <c r="CJ81" s="307" t="s">
        <v>599</v>
      </c>
      <c r="CK81" s="308">
        <f>+CK79/CK80</f>
        <v>1.2193110673070926</v>
      </c>
      <c r="CL81" s="269"/>
      <c r="CM81" s="245"/>
      <c r="CN81" s="245"/>
      <c r="CO81" s="245"/>
      <c r="CP81" s="245"/>
      <c r="CQ81" s="245"/>
      <c r="CR81" s="245"/>
      <c r="CS81" s="275" t="s">
        <v>492</v>
      </c>
      <c r="CT81" s="276" t="s">
        <v>495</v>
      </c>
      <c r="CU81" s="275" t="s">
        <v>467</v>
      </c>
      <c r="CV81" s="245"/>
      <c r="CW81" s="245"/>
      <c r="CX81" s="245"/>
      <c r="CY81" s="245"/>
      <c r="CZ81" s="245"/>
      <c r="DA81" s="245"/>
      <c r="DB81" s="245"/>
      <c r="DC81" s="245"/>
      <c r="DD81" s="245"/>
      <c r="DE81" s="245"/>
      <c r="DF81" s="245"/>
      <c r="DG81" s="245"/>
      <c r="DH81" s="245"/>
      <c r="DI81" s="245"/>
      <c r="DJ81" s="245"/>
      <c r="DK81" s="245"/>
      <c r="DL81" s="245"/>
      <c r="DM81" s="281"/>
      <c r="DN81" s="307" t="s">
        <v>599</v>
      </c>
      <c r="DO81" s="308">
        <f>+DO79/DO80</f>
        <v>0.8738248701094735</v>
      </c>
      <c r="DP81" s="269"/>
      <c r="DQ81" s="245"/>
      <c r="DR81" s="245"/>
      <c r="DS81" s="245"/>
      <c r="DT81" s="245"/>
      <c r="DU81" s="245"/>
      <c r="DV81" s="245"/>
      <c r="DW81" s="291"/>
      <c r="DX81" s="291"/>
      <c r="DY81" s="291"/>
      <c r="DZ81" s="245"/>
      <c r="EA81" s="245"/>
      <c r="EB81" s="245"/>
      <c r="EC81" s="245"/>
      <c r="ED81" s="245"/>
      <c r="EE81" s="245"/>
    </row>
    <row r="82" spans="1:135" x14ac:dyDescent="0.25">
      <c r="A82" s="245"/>
      <c r="B82" s="297"/>
      <c r="C82" s="298" t="s">
        <v>5</v>
      </c>
      <c r="D82" s="299">
        <f>SUM(D69:D81)</f>
        <v>5.088569244431702</v>
      </c>
      <c r="E82" s="245"/>
      <c r="F82" s="296"/>
      <c r="G82" s="26" t="s">
        <v>556</v>
      </c>
      <c r="H82" s="30" t="s">
        <v>557</v>
      </c>
      <c r="I82" s="283">
        <f>insumos!$H$23*4</f>
        <v>1.151999462510078</v>
      </c>
      <c r="J82" s="300" t="s">
        <v>531</v>
      </c>
      <c r="K82" s="291"/>
      <c r="L82" s="26" t="s">
        <v>739</v>
      </c>
      <c r="M82" s="1" t="s">
        <v>740</v>
      </c>
      <c r="N82" s="283">
        <f>insumos!$H$96*4</f>
        <v>0.788</v>
      </c>
      <c r="O82" s="291" t="s">
        <v>531</v>
      </c>
      <c r="P82" s="245"/>
      <c r="Q82" s="297"/>
      <c r="R82" s="298" t="s">
        <v>5</v>
      </c>
      <c r="S82" s="299">
        <f>SUM(S73:S81)</f>
        <v>2.7883890898260133</v>
      </c>
      <c r="T82" s="245"/>
      <c r="U82" s="245"/>
      <c r="V82" s="311"/>
      <c r="W82" s="307" t="s">
        <v>604</v>
      </c>
      <c r="X82" s="308">
        <f>X81*1.03</f>
        <v>0.12254368624427633</v>
      </c>
      <c r="Y82" s="245"/>
      <c r="Z82" s="245"/>
      <c r="AA82" s="26" t="s">
        <v>558</v>
      </c>
      <c r="AB82" s="30" t="s">
        <v>559</v>
      </c>
      <c r="AC82" s="283">
        <f>insumos!$H$65*12</f>
        <v>1.6559975653232466</v>
      </c>
      <c r="AD82" s="1" t="s">
        <v>568</v>
      </c>
      <c r="AE82" s="245"/>
      <c r="AF82" s="245"/>
      <c r="AG82" s="245"/>
      <c r="AH82" s="245"/>
      <c r="AI82" s="245"/>
      <c r="AJ82" s="245"/>
      <c r="AK82" s="26" t="s">
        <v>566</v>
      </c>
      <c r="AL82" s="30" t="s">
        <v>567</v>
      </c>
      <c r="AM82" s="283">
        <f>insumos!$H$113*12</f>
        <v>0.32411344634605743</v>
      </c>
      <c r="AN82" s="1" t="s">
        <v>568</v>
      </c>
      <c r="AO82" s="245"/>
      <c r="AP82" s="275" t="s">
        <v>492</v>
      </c>
      <c r="AQ82" s="277" t="s">
        <v>495</v>
      </c>
      <c r="AR82" s="275" t="s">
        <v>467</v>
      </c>
      <c r="AS82" s="245"/>
      <c r="AT82" s="245"/>
      <c r="AU82" s="245"/>
      <c r="AV82" s="245"/>
      <c r="AW82" s="245"/>
      <c r="AX82" s="245"/>
      <c r="AY82" s="245"/>
      <c r="AZ82" s="311"/>
      <c r="BA82" s="307" t="s">
        <v>604</v>
      </c>
      <c r="BB82" s="308">
        <f>BB81*1.03</f>
        <v>0.9035057932078355</v>
      </c>
      <c r="BC82" s="269"/>
      <c r="BD82" s="245"/>
      <c r="BE82" s="311"/>
      <c r="BF82" s="307" t="s">
        <v>604</v>
      </c>
      <c r="BG82" s="308">
        <f>BG81*1.03</f>
        <v>0.48970766652183023</v>
      </c>
      <c r="BH82" s="269"/>
      <c r="BI82" s="245"/>
      <c r="BJ82" s="245"/>
      <c r="BK82" s="245"/>
      <c r="BL82" s="245"/>
      <c r="BM82" s="245"/>
      <c r="BN82" s="245"/>
      <c r="BO82" s="311"/>
      <c r="BP82" s="307" t="s">
        <v>604</v>
      </c>
      <c r="BQ82" s="308">
        <f>BQ81*1.03</f>
        <v>0.2502220747309315</v>
      </c>
      <c r="BR82" s="269"/>
      <c r="BS82" s="245"/>
      <c r="BT82" s="245"/>
      <c r="BU82" s="245"/>
      <c r="BV82" s="245"/>
      <c r="BW82" s="245"/>
      <c r="BX82" s="245"/>
      <c r="BY82" s="281"/>
      <c r="BZ82" s="282" t="s">
        <v>587</v>
      </c>
      <c r="CA82" s="304">
        <v>12.47</v>
      </c>
      <c r="CB82" s="269"/>
      <c r="CC82" s="245"/>
      <c r="CD82" s="245"/>
      <c r="CE82" s="245"/>
      <c r="CF82" s="245"/>
      <c r="CG82" s="245"/>
      <c r="CH82" s="245"/>
      <c r="CI82" s="311"/>
      <c r="CJ82" s="307" t="s">
        <v>604</v>
      </c>
      <c r="CK82" s="308">
        <f>CK81*1.03</f>
        <v>1.2558903993263053</v>
      </c>
      <c r="CL82" s="269"/>
      <c r="CM82" s="245"/>
      <c r="CN82" s="263">
        <v>4865132</v>
      </c>
      <c r="CO82" s="264" t="s">
        <v>741</v>
      </c>
      <c r="CP82" s="267"/>
      <c r="CQ82" s="269"/>
      <c r="CR82" s="245"/>
      <c r="CS82" s="278"/>
      <c r="CT82" s="279" t="s">
        <v>134</v>
      </c>
      <c r="CU82" s="278"/>
      <c r="CV82" s="245"/>
      <c r="CW82" s="245"/>
      <c r="CX82" s="245"/>
      <c r="CY82" s="245"/>
      <c r="CZ82" s="245"/>
      <c r="DA82" s="245"/>
      <c r="DB82" s="245"/>
      <c r="DC82" s="245"/>
      <c r="DD82" s="245"/>
      <c r="DE82" s="245"/>
      <c r="DF82" s="245"/>
      <c r="DG82" s="245"/>
      <c r="DH82" s="245"/>
      <c r="DI82" s="245"/>
      <c r="DJ82" s="245"/>
      <c r="DK82" s="245"/>
      <c r="DL82" s="245"/>
      <c r="DM82" s="311"/>
      <c r="DN82" s="307" t="s">
        <v>604</v>
      </c>
      <c r="DO82" s="308">
        <f>DO81*1.03</f>
        <v>0.9000396162127577</v>
      </c>
      <c r="DP82" s="269"/>
      <c r="DQ82" s="245"/>
      <c r="DR82" s="245"/>
      <c r="DS82" s="245"/>
      <c r="DT82" s="245"/>
      <c r="DU82" s="245"/>
      <c r="DV82" s="245"/>
      <c r="DW82" s="245"/>
      <c r="DX82" s="245"/>
      <c r="DY82" s="245"/>
      <c r="DZ82" s="245"/>
      <c r="EA82" s="245"/>
      <c r="EB82" s="245"/>
      <c r="EC82" s="245"/>
      <c r="ED82" s="245"/>
      <c r="EE82" s="245"/>
    </row>
    <row r="83" spans="1:135" x14ac:dyDescent="0.25">
      <c r="A83" s="245"/>
      <c r="B83" s="281"/>
      <c r="C83" s="282" t="s">
        <v>587</v>
      </c>
      <c r="D83" s="281">
        <v>11.45</v>
      </c>
      <c r="E83" s="245"/>
      <c r="F83" s="296"/>
      <c r="G83" s="26" t="s">
        <v>566</v>
      </c>
      <c r="H83" s="30" t="s">
        <v>567</v>
      </c>
      <c r="I83" s="283">
        <f>insumos!$H$113*4</f>
        <v>0.1080378154486858</v>
      </c>
      <c r="J83" s="300" t="s">
        <v>531</v>
      </c>
      <c r="K83" s="291"/>
      <c r="L83" s="26" t="s">
        <v>566</v>
      </c>
      <c r="M83" s="30" t="s">
        <v>567</v>
      </c>
      <c r="N83" s="283">
        <f>insumos!$H$113*4</f>
        <v>0.1080378154486858</v>
      </c>
      <c r="O83" s="291" t="s">
        <v>531</v>
      </c>
      <c r="P83" s="245"/>
      <c r="Q83" s="281"/>
      <c r="R83" s="282" t="s">
        <v>587</v>
      </c>
      <c r="S83" s="304">
        <f>1031.93/57</f>
        <v>18.1040350877193</v>
      </c>
      <c r="T83" s="245"/>
      <c r="U83" s="245"/>
      <c r="V83" s="245"/>
      <c r="W83" s="245"/>
      <c r="X83" s="245"/>
      <c r="Y83" s="245"/>
      <c r="Z83" s="245"/>
      <c r="AA83" s="26" t="s">
        <v>574</v>
      </c>
      <c r="AB83" s="30" t="s">
        <v>575</v>
      </c>
      <c r="AC83" s="283">
        <f>insumos!$H$120*12</f>
        <v>0.2388</v>
      </c>
      <c r="AD83" s="1" t="s">
        <v>568</v>
      </c>
      <c r="AE83" s="245"/>
      <c r="AF83" s="245"/>
      <c r="AG83" s="245"/>
      <c r="AH83" s="245"/>
      <c r="AI83" s="245"/>
      <c r="AJ83" s="245"/>
      <c r="AK83" s="26" t="s">
        <v>596</v>
      </c>
      <c r="AL83" s="30" t="s">
        <v>742</v>
      </c>
      <c r="AM83" s="283">
        <f>insumos!$H$53*12</f>
        <v>1.8720000000000003</v>
      </c>
      <c r="AN83" s="1" t="s">
        <v>568</v>
      </c>
      <c r="AO83" s="245"/>
      <c r="AP83" s="278"/>
      <c r="AQ83" s="280" t="s">
        <v>134</v>
      </c>
      <c r="AR83" s="278"/>
      <c r="AS83" s="245"/>
      <c r="AT83" s="245"/>
      <c r="AU83" s="245"/>
      <c r="AV83" s="245"/>
      <c r="AW83" s="245"/>
      <c r="AX83" s="245"/>
      <c r="AY83" s="245"/>
      <c r="AZ83" s="245"/>
      <c r="BA83" s="245"/>
      <c r="BB83" s="245"/>
      <c r="BC83" s="245"/>
      <c r="BD83" s="245"/>
      <c r="BE83" s="245"/>
      <c r="BF83" s="245"/>
      <c r="BG83" s="245"/>
      <c r="BH83" s="245"/>
      <c r="BI83" s="245"/>
      <c r="BJ83" s="245"/>
      <c r="BK83" s="245"/>
      <c r="BL83" s="245"/>
      <c r="BM83" s="245"/>
      <c r="BN83" s="245"/>
      <c r="BO83" s="245"/>
      <c r="BP83" s="245"/>
      <c r="BQ83" s="245"/>
      <c r="BR83" s="245"/>
      <c r="BS83" s="245"/>
      <c r="BT83" s="245"/>
      <c r="BU83" s="245"/>
      <c r="BV83" s="245"/>
      <c r="BW83" s="245"/>
      <c r="BX83" s="245"/>
      <c r="BY83" s="281"/>
      <c r="BZ83" s="307" t="s">
        <v>599</v>
      </c>
      <c r="CA83" s="308">
        <f>+CA81/CA82</f>
        <v>0.4168997463262089</v>
      </c>
      <c r="CB83" s="269"/>
      <c r="CC83" s="245"/>
      <c r="CD83" s="263">
        <v>4545070</v>
      </c>
      <c r="CE83" s="264" t="s">
        <v>743</v>
      </c>
      <c r="CF83" s="267"/>
      <c r="CG83" s="269"/>
      <c r="CH83" s="245"/>
      <c r="CI83" s="245"/>
      <c r="CJ83" s="245"/>
      <c r="CK83" s="245"/>
      <c r="CL83" s="245"/>
      <c r="CM83" s="245"/>
      <c r="CN83" s="275" t="s">
        <v>492</v>
      </c>
      <c r="CO83" s="276" t="s">
        <v>495</v>
      </c>
      <c r="CP83" s="275" t="s">
        <v>467</v>
      </c>
      <c r="CQ83" s="269"/>
      <c r="CR83" s="245"/>
      <c r="CS83" s="281">
        <v>6184</v>
      </c>
      <c r="CT83" s="1" t="s">
        <v>502</v>
      </c>
      <c r="CU83" s="283">
        <f>insumos!$H$215</f>
        <v>0.6</v>
      </c>
      <c r="CV83" s="245"/>
      <c r="CW83" s="245"/>
      <c r="CX83" s="245"/>
      <c r="CY83" s="245"/>
      <c r="CZ83" s="245"/>
      <c r="DA83" s="245"/>
      <c r="DB83" s="245"/>
      <c r="DC83" s="245"/>
      <c r="DD83" s="245"/>
      <c r="DE83" s="245"/>
      <c r="DF83" s="245"/>
      <c r="DG83" s="245"/>
      <c r="DH83" s="245"/>
      <c r="DI83" s="245"/>
      <c r="DJ83" s="245"/>
      <c r="DK83" s="245"/>
      <c r="DL83" s="245"/>
      <c r="DM83" s="245"/>
      <c r="DN83" s="245"/>
      <c r="DO83" s="245"/>
      <c r="DP83" s="245"/>
      <c r="DQ83" s="245"/>
      <c r="DR83" s="245"/>
      <c r="DS83" s="245"/>
      <c r="DT83" s="245"/>
      <c r="DU83" s="245"/>
      <c r="DV83" s="245"/>
      <c r="DW83" s="245"/>
      <c r="DX83" s="245"/>
      <c r="DY83" s="245"/>
      <c r="DZ83" s="245"/>
      <c r="EA83" s="245"/>
      <c r="EB83" s="245"/>
      <c r="EC83" s="245"/>
      <c r="ED83" s="245"/>
      <c r="EE83" s="245"/>
    </row>
    <row r="84" spans="1:135" x14ac:dyDescent="0.25">
      <c r="A84" s="245"/>
      <c r="B84" s="281"/>
      <c r="C84" s="307" t="s">
        <v>599</v>
      </c>
      <c r="D84" s="308">
        <f>+D82/D83</f>
        <v>0.44441652789796526</v>
      </c>
      <c r="E84" s="245"/>
      <c r="F84" s="1"/>
      <c r="G84" s="297"/>
      <c r="H84" s="298" t="s">
        <v>5</v>
      </c>
      <c r="I84" s="299">
        <f>SUM(I75:I83)</f>
        <v>3.460387501561888</v>
      </c>
      <c r="J84" s="269"/>
      <c r="K84" s="245"/>
      <c r="L84" s="297"/>
      <c r="M84" s="303" t="s">
        <v>5</v>
      </c>
      <c r="N84" s="299">
        <f>SUM(N75:N83)</f>
        <v>3.0634269052747003</v>
      </c>
      <c r="O84" s="245"/>
      <c r="P84" s="245"/>
      <c r="Q84" s="281"/>
      <c r="R84" s="307" t="s">
        <v>599</v>
      </c>
      <c r="S84" s="308">
        <f>+S82/S83</f>
        <v>0.15402030963348554</v>
      </c>
      <c r="T84" s="245"/>
      <c r="U84" s="245"/>
      <c r="V84" s="263">
        <v>993290</v>
      </c>
      <c r="W84" s="264" t="s">
        <v>744</v>
      </c>
      <c r="X84" s="267"/>
      <c r="Y84" s="245"/>
      <c r="Z84" s="245"/>
      <c r="AA84" s="297"/>
      <c r="AB84" s="298" t="s">
        <v>5</v>
      </c>
      <c r="AC84" s="299">
        <f>SUM(AC75:AC83)</f>
        <v>3.2671866551492603</v>
      </c>
      <c r="AD84" s="245"/>
      <c r="AE84" s="245"/>
      <c r="AF84" s="245"/>
      <c r="AG84" s="245"/>
      <c r="AH84" s="245"/>
      <c r="AI84" s="245"/>
      <c r="AJ84" s="245"/>
      <c r="AK84" s="297"/>
      <c r="AL84" s="298" t="s">
        <v>5</v>
      </c>
      <c r="AM84" s="299">
        <f>SUM(AM75:AM83)</f>
        <v>4.289331386113432</v>
      </c>
      <c r="AN84" s="245"/>
      <c r="AO84" s="245"/>
      <c r="AP84" s="281">
        <v>3741</v>
      </c>
      <c r="AQ84" s="282" t="s">
        <v>500</v>
      </c>
      <c r="AR84" s="283">
        <f>insumos!$G$213</f>
        <v>0.8355871886120997</v>
      </c>
      <c r="AS84" s="284"/>
      <c r="AT84" s="245"/>
      <c r="AU84" s="245"/>
      <c r="AV84" s="245"/>
      <c r="AW84" s="245"/>
      <c r="AX84" s="245"/>
      <c r="AY84" s="245"/>
      <c r="AZ84" s="263">
        <v>441931</v>
      </c>
      <c r="BA84" s="264" t="s">
        <v>745</v>
      </c>
      <c r="BB84" s="267"/>
      <c r="BC84" s="269"/>
      <c r="BD84" s="245"/>
      <c r="BE84" s="263">
        <v>443799</v>
      </c>
      <c r="BF84" s="264" t="s">
        <v>746</v>
      </c>
      <c r="BG84" s="267"/>
      <c r="BH84" s="269"/>
      <c r="BI84" s="245"/>
      <c r="BJ84" s="245"/>
      <c r="BK84" s="245"/>
      <c r="BL84" s="245"/>
      <c r="BM84" s="245"/>
      <c r="BN84" s="245"/>
      <c r="BO84" s="245"/>
      <c r="BP84" s="245"/>
      <c r="BQ84" s="245"/>
      <c r="BR84" s="245"/>
      <c r="BS84" s="245"/>
      <c r="BT84" s="245"/>
      <c r="BU84" s="245"/>
      <c r="BV84" s="245"/>
      <c r="BW84" s="245"/>
      <c r="BX84" s="245"/>
      <c r="BY84" s="311"/>
      <c r="BZ84" s="307" t="s">
        <v>604</v>
      </c>
      <c r="CA84" s="308">
        <f>CA83*1.03</f>
        <v>0.42940673871599516</v>
      </c>
      <c r="CB84" s="245"/>
      <c r="CC84" s="245"/>
      <c r="CD84" s="275" t="s">
        <v>492</v>
      </c>
      <c r="CE84" s="276" t="s">
        <v>495</v>
      </c>
      <c r="CF84" s="275" t="s">
        <v>467</v>
      </c>
      <c r="CG84" s="269"/>
      <c r="CH84" s="245"/>
      <c r="CI84" s="263">
        <v>4546916</v>
      </c>
      <c r="CJ84" s="264" t="s">
        <v>747</v>
      </c>
      <c r="CK84" s="267"/>
      <c r="CL84" s="269"/>
      <c r="CM84" s="245"/>
      <c r="CN84" s="278"/>
      <c r="CO84" s="279" t="s">
        <v>134</v>
      </c>
      <c r="CP84" s="278"/>
      <c r="CQ84" s="269"/>
      <c r="CR84" s="245"/>
      <c r="CS84" s="281">
        <v>5523</v>
      </c>
      <c r="CT84" s="286" t="s">
        <v>508</v>
      </c>
      <c r="CU84" s="283">
        <f>+insumos!$H$285</f>
        <v>1.1829611337771098</v>
      </c>
      <c r="CV84" s="245"/>
      <c r="CW84" s="245"/>
      <c r="CX84" s="245"/>
      <c r="CY84" s="245"/>
      <c r="CZ84" s="245"/>
      <c r="DA84" s="245"/>
      <c r="DB84" s="245"/>
      <c r="DC84" s="245"/>
      <c r="DD84" s="245"/>
      <c r="DE84" s="245"/>
      <c r="DF84" s="245"/>
      <c r="DG84" s="245"/>
      <c r="DH84" s="245"/>
      <c r="DI84" s="245"/>
      <c r="DJ84" s="245"/>
      <c r="DK84" s="245"/>
      <c r="DL84" s="245"/>
      <c r="DM84" s="263">
        <v>1993133</v>
      </c>
      <c r="DN84" s="264" t="s">
        <v>748</v>
      </c>
      <c r="DO84" s="267"/>
      <c r="DP84" s="245"/>
      <c r="DQ84" s="245"/>
      <c r="DR84" s="245"/>
      <c r="DS84" s="245"/>
      <c r="DT84" s="245"/>
      <c r="DU84" s="245"/>
      <c r="DV84" s="245"/>
      <c r="DW84" s="245"/>
      <c r="DX84" s="245"/>
      <c r="DY84" s="245"/>
      <c r="DZ84" s="245"/>
      <c r="EA84" s="245"/>
      <c r="EB84" s="245"/>
      <c r="EC84" s="245"/>
      <c r="ED84" s="245"/>
      <c r="EE84" s="245"/>
    </row>
    <row r="85" spans="1:135" x14ac:dyDescent="0.25">
      <c r="A85" s="245"/>
      <c r="B85" s="311"/>
      <c r="C85" s="307" t="s">
        <v>604</v>
      </c>
      <c r="D85" s="308">
        <f>D84*1.03</f>
        <v>0.4577490237349042</v>
      </c>
      <c r="E85" s="245"/>
      <c r="F85" s="245"/>
      <c r="G85" s="281"/>
      <c r="H85" s="282" t="s">
        <v>587</v>
      </c>
      <c r="I85" s="281">
        <v>17.6</v>
      </c>
      <c r="J85" s="269"/>
      <c r="K85" s="245"/>
      <c r="L85" s="281"/>
      <c r="M85" s="286" t="s">
        <v>587</v>
      </c>
      <c r="N85" s="304">
        <f>384.86/25</f>
        <v>15.394400000000001</v>
      </c>
      <c r="O85" s="245"/>
      <c r="P85" s="245"/>
      <c r="Q85" s="311"/>
      <c r="R85" s="307" t="s">
        <v>604</v>
      </c>
      <c r="S85" s="308">
        <f>S84*1.03</f>
        <v>0.1586409189224901</v>
      </c>
      <c r="T85" s="245"/>
      <c r="U85" s="245"/>
      <c r="V85" s="275" t="s">
        <v>492</v>
      </c>
      <c r="W85" s="276" t="s">
        <v>495</v>
      </c>
      <c r="X85" s="275" t="s">
        <v>467</v>
      </c>
      <c r="Y85" s="245"/>
      <c r="Z85" s="245"/>
      <c r="AA85" s="281"/>
      <c r="AB85" s="282" t="s">
        <v>587</v>
      </c>
      <c r="AC85" s="304">
        <f>21952.69/988</f>
        <v>22.219321862348178</v>
      </c>
      <c r="AD85" s="245"/>
      <c r="AE85" s="245"/>
      <c r="AF85" s="245"/>
      <c r="AG85" s="245"/>
      <c r="AH85" s="245"/>
      <c r="AI85" s="245"/>
      <c r="AJ85" s="245"/>
      <c r="AK85" s="281"/>
      <c r="AL85" s="282" t="s">
        <v>587</v>
      </c>
      <c r="AM85" s="304">
        <f>106.57/9</f>
        <v>11.841111111111111</v>
      </c>
      <c r="AN85" s="245"/>
      <c r="AO85" s="245"/>
      <c r="AP85" s="281">
        <v>3759</v>
      </c>
      <c r="AQ85" s="1" t="s">
        <v>507</v>
      </c>
      <c r="AR85" s="283">
        <f>+insumos!$G$284</f>
        <v>1.1352416613292604</v>
      </c>
      <c r="AS85" s="284"/>
      <c r="AT85" s="245"/>
      <c r="AU85" s="245"/>
      <c r="AV85" s="245"/>
      <c r="AW85" s="245"/>
      <c r="AX85" s="245"/>
      <c r="AY85" s="245"/>
      <c r="AZ85" s="275" t="s">
        <v>492</v>
      </c>
      <c r="BA85" s="276" t="s">
        <v>495</v>
      </c>
      <c r="BB85" s="275" t="s">
        <v>467</v>
      </c>
      <c r="BC85" s="269"/>
      <c r="BD85" s="245"/>
      <c r="BE85" s="275" t="s">
        <v>492</v>
      </c>
      <c r="BF85" s="276" t="s">
        <v>495</v>
      </c>
      <c r="BG85" s="275" t="s">
        <v>467</v>
      </c>
      <c r="BH85" s="269"/>
      <c r="BI85" s="245"/>
      <c r="BJ85" s="245"/>
      <c r="BK85" s="245"/>
      <c r="BL85" s="245"/>
      <c r="BM85" s="245"/>
      <c r="BN85" s="245"/>
      <c r="BO85" s="245"/>
      <c r="BP85" s="245"/>
      <c r="BQ85" s="245"/>
      <c r="BR85" s="245"/>
      <c r="BS85" s="245"/>
      <c r="BT85" s="245"/>
      <c r="BU85" s="245"/>
      <c r="BV85" s="245"/>
      <c r="BW85" s="245"/>
      <c r="BX85" s="245"/>
      <c r="BY85" s="245"/>
      <c r="BZ85" s="245"/>
      <c r="CA85" s="245"/>
      <c r="CB85" s="245"/>
      <c r="CC85" s="245"/>
      <c r="CD85" s="278"/>
      <c r="CE85" s="279" t="s">
        <v>134</v>
      </c>
      <c r="CF85" s="278"/>
      <c r="CG85" s="269"/>
      <c r="CH85" s="245"/>
      <c r="CI85" s="275" t="s">
        <v>492</v>
      </c>
      <c r="CJ85" s="276" t="s">
        <v>495</v>
      </c>
      <c r="CK85" s="275" t="s">
        <v>467</v>
      </c>
      <c r="CL85" s="269"/>
      <c r="CM85" s="245"/>
      <c r="CN85" s="281">
        <v>5524</v>
      </c>
      <c r="CO85" s="1" t="s">
        <v>501</v>
      </c>
      <c r="CP85" s="283">
        <f>insumos!$H$217</f>
        <v>0.8950000000000001</v>
      </c>
      <c r="CQ85" s="269"/>
      <c r="CR85" s="245"/>
      <c r="CS85" s="281">
        <v>4542</v>
      </c>
      <c r="CT85" s="286" t="s">
        <v>527</v>
      </c>
      <c r="CU85" s="283">
        <f>insumos!$I$35</f>
        <v>0.022058823529411763</v>
      </c>
      <c r="CV85" s="284"/>
      <c r="CW85" s="245"/>
      <c r="CX85" s="245"/>
      <c r="CY85" s="245"/>
      <c r="CZ85" s="245"/>
      <c r="DA85" s="245"/>
      <c r="DB85" s="245"/>
      <c r="DC85" s="245"/>
      <c r="DD85" s="245"/>
      <c r="DE85" s="245"/>
      <c r="DF85" s="245"/>
      <c r="DG85" s="245"/>
      <c r="DH85" s="245"/>
      <c r="DI85" s="245"/>
      <c r="DJ85" s="245"/>
      <c r="DK85" s="245"/>
      <c r="DL85" s="245"/>
      <c r="DM85" s="275" t="s">
        <v>492</v>
      </c>
      <c r="DN85" s="276" t="s">
        <v>495</v>
      </c>
      <c r="DO85" s="275" t="s">
        <v>467</v>
      </c>
      <c r="DP85" s="245"/>
      <c r="DQ85" s="245"/>
      <c r="DR85" s="245"/>
      <c r="DS85" s="245"/>
      <c r="DT85" s="245"/>
      <c r="DU85" s="245"/>
      <c r="DV85" s="245"/>
      <c r="DW85" s="245"/>
      <c r="DX85" s="245"/>
      <c r="DY85" s="245"/>
      <c r="DZ85" s="245"/>
      <c r="EA85" s="245"/>
      <c r="EB85" s="245"/>
      <c r="EC85" s="245"/>
      <c r="ED85" s="245"/>
      <c r="EE85" s="245"/>
    </row>
    <row r="86" spans="1:135" x14ac:dyDescent="0.25">
      <c r="A86" s="245"/>
      <c r="B86" s="245"/>
      <c r="C86" s="245"/>
      <c r="D86" s="245"/>
      <c r="E86" s="245"/>
      <c r="F86" s="245"/>
      <c r="G86" s="281"/>
      <c r="H86" s="307" t="s">
        <v>599</v>
      </c>
      <c r="I86" s="308">
        <f>+I84/I85</f>
        <v>0.19661292622510726</v>
      </c>
      <c r="J86" s="269"/>
      <c r="K86" s="245"/>
      <c r="L86" s="281"/>
      <c r="M86" s="310" t="s">
        <v>599</v>
      </c>
      <c r="N86" s="308">
        <f>+N84/N85</f>
        <v>0.19899618726775323</v>
      </c>
      <c r="O86" s="245"/>
      <c r="P86" s="245"/>
      <c r="Q86" s="245"/>
      <c r="R86" s="245"/>
      <c r="S86" s="245"/>
      <c r="T86" s="245"/>
      <c r="U86" s="245"/>
      <c r="V86" s="278"/>
      <c r="W86" s="279" t="s">
        <v>134</v>
      </c>
      <c r="X86" s="278"/>
      <c r="Y86" s="245"/>
      <c r="Z86" s="245"/>
      <c r="AA86" s="281"/>
      <c r="AB86" s="307" t="s">
        <v>599</v>
      </c>
      <c r="AC86" s="308">
        <f>+AC84/AC85</f>
        <v>0.14704259092108846</v>
      </c>
      <c r="AD86" s="245"/>
      <c r="AE86" s="245"/>
      <c r="AF86" s="245"/>
      <c r="AG86" s="245"/>
      <c r="AH86" s="245"/>
      <c r="AI86" s="245"/>
      <c r="AJ86" s="245"/>
      <c r="AK86" s="281"/>
      <c r="AL86" s="307" t="s">
        <v>599</v>
      </c>
      <c r="AM86" s="308">
        <f>+AM84/AM85</f>
        <v>0.36224061626180803</v>
      </c>
      <c r="AN86" s="245"/>
      <c r="AO86" s="245"/>
      <c r="AP86" s="281">
        <v>4541</v>
      </c>
      <c r="AQ86" s="282" t="s">
        <v>528</v>
      </c>
      <c r="AR86" s="283">
        <f>insumos!$H$43</f>
        <v>0.022058823529411766</v>
      </c>
      <c r="AS86" s="284"/>
      <c r="AT86" s="245"/>
      <c r="AU86" s="245"/>
      <c r="AV86" s="245"/>
      <c r="AW86" s="245"/>
      <c r="AX86" s="245"/>
      <c r="AY86" s="245"/>
      <c r="AZ86" s="278"/>
      <c r="BA86" s="279" t="s">
        <v>134</v>
      </c>
      <c r="BB86" s="278"/>
      <c r="BC86" s="269"/>
      <c r="BD86" s="245"/>
      <c r="BE86" s="278"/>
      <c r="BF86" s="279" t="s">
        <v>134</v>
      </c>
      <c r="BG86" s="278"/>
      <c r="BH86" s="269"/>
      <c r="BI86" s="245"/>
      <c r="BJ86" s="245"/>
      <c r="BK86" s="245"/>
      <c r="BL86" s="245"/>
      <c r="BM86" s="245"/>
      <c r="BN86" s="245"/>
      <c r="BO86" s="245"/>
      <c r="BP86" s="245"/>
      <c r="BQ86" s="245"/>
      <c r="BR86" s="245"/>
      <c r="BS86" s="245"/>
      <c r="BT86" s="245"/>
      <c r="BU86" s="245"/>
      <c r="BV86" s="245"/>
      <c r="BW86" s="245"/>
      <c r="BX86" s="245"/>
      <c r="BY86" s="263">
        <v>4543025</v>
      </c>
      <c r="BZ86" s="264" t="s">
        <v>749</v>
      </c>
      <c r="CA86" s="267"/>
      <c r="CB86" s="269"/>
      <c r="CC86" s="245"/>
      <c r="CD86" s="281">
        <v>3741</v>
      </c>
      <c r="CE86" s="282" t="s">
        <v>500</v>
      </c>
      <c r="CF86" s="283">
        <f>insumos!$G$213</f>
        <v>0.8355871886120997</v>
      </c>
      <c r="CG86" s="284"/>
      <c r="CH86" s="245"/>
      <c r="CI86" s="278"/>
      <c r="CJ86" s="279" t="s">
        <v>134</v>
      </c>
      <c r="CK86" s="278"/>
      <c r="CL86" s="269"/>
      <c r="CM86" s="245"/>
      <c r="CN86" s="281">
        <v>5523</v>
      </c>
      <c r="CO86" s="282" t="s">
        <v>508</v>
      </c>
      <c r="CP86" s="283">
        <f>+insumos!$H$285</f>
        <v>1.1829611337771098</v>
      </c>
      <c r="CQ86" s="269"/>
      <c r="CR86" s="245"/>
      <c r="CS86" s="281">
        <v>4986</v>
      </c>
      <c r="CT86" s="1" t="s">
        <v>530</v>
      </c>
      <c r="CU86" s="283">
        <f>insumos!$H$255*4</f>
        <v>0.7599995156520082</v>
      </c>
      <c r="CV86" s="284" t="s">
        <v>531</v>
      </c>
      <c r="CW86" s="245"/>
      <c r="CX86" s="245"/>
      <c r="CY86" s="245"/>
      <c r="CZ86" s="245"/>
      <c r="DA86" s="245"/>
      <c r="DB86" s="245"/>
      <c r="DC86" s="245"/>
      <c r="DD86" s="245"/>
      <c r="DE86" s="245"/>
      <c r="DF86" s="245"/>
      <c r="DG86" s="245"/>
      <c r="DH86" s="245"/>
      <c r="DI86" s="245"/>
      <c r="DJ86" s="245"/>
      <c r="DK86" s="245"/>
      <c r="DL86" s="245"/>
      <c r="DM86" s="278"/>
      <c r="DN86" s="279" t="s">
        <v>134</v>
      </c>
      <c r="DO86" s="278"/>
      <c r="DP86" s="245"/>
      <c r="DQ86" s="245"/>
      <c r="DR86" s="245"/>
      <c r="DS86" s="245"/>
      <c r="DT86" s="245"/>
      <c r="DU86" s="245"/>
      <c r="DV86" s="245"/>
      <c r="DW86" s="245"/>
      <c r="DX86" s="245"/>
      <c r="DY86" s="245"/>
      <c r="DZ86" s="245"/>
      <c r="EA86" s="245"/>
      <c r="EB86" s="245"/>
      <c r="EC86" s="245"/>
      <c r="ED86" s="245"/>
      <c r="EE86" s="245"/>
    </row>
    <row r="87" spans="1:135" x14ac:dyDescent="0.25">
      <c r="A87" s="245"/>
      <c r="B87" s="263">
        <v>439025</v>
      </c>
      <c r="C87" s="264" t="s">
        <v>672</v>
      </c>
      <c r="D87" s="267">
        <v>775</v>
      </c>
      <c r="E87" s="272">
        <f>D87/E2</f>
        <v>19.249875807252856</v>
      </c>
      <c r="F87" s="245"/>
      <c r="G87" s="311"/>
      <c r="H87" s="307" t="s">
        <v>604</v>
      </c>
      <c r="I87" s="308">
        <f>I86*1.03</f>
        <v>0.20251131401186048</v>
      </c>
      <c r="J87" s="269"/>
      <c r="K87" s="245"/>
      <c r="L87" s="311"/>
      <c r="M87" s="310" t="s">
        <v>604</v>
      </c>
      <c r="N87" s="308">
        <f>N86*1.03</f>
        <v>0.20496607288578583</v>
      </c>
      <c r="O87" s="245"/>
      <c r="P87" s="245"/>
      <c r="Q87" s="263">
        <v>998017</v>
      </c>
      <c r="R87" s="264" t="s">
        <v>750</v>
      </c>
      <c r="S87" s="267"/>
      <c r="T87" s="245"/>
      <c r="U87" s="245"/>
      <c r="V87" s="281">
        <v>6184</v>
      </c>
      <c r="W87" s="1" t="s">
        <v>502</v>
      </c>
      <c r="X87" s="283">
        <f>insumos!$H$215</f>
        <v>0.6</v>
      </c>
      <c r="Y87" s="245"/>
      <c r="Z87" s="245"/>
      <c r="AA87" s="311"/>
      <c r="AB87" s="307" t="s">
        <v>604</v>
      </c>
      <c r="AC87" s="308">
        <f>AC86*1.03</f>
        <v>0.15145386864872112</v>
      </c>
      <c r="AD87" s="245"/>
      <c r="AE87" s="245"/>
      <c r="AF87" s="245"/>
      <c r="AG87" s="245"/>
      <c r="AH87" s="245"/>
      <c r="AI87" s="245"/>
      <c r="AJ87" s="245"/>
      <c r="AK87" s="311"/>
      <c r="AL87" s="307" t="s">
        <v>604</v>
      </c>
      <c r="AM87" s="308">
        <f>AM86*1.03</f>
        <v>0.3731078347496623</v>
      </c>
      <c r="AN87" s="245"/>
      <c r="AO87" s="245"/>
      <c r="AP87" s="26">
        <v>3817</v>
      </c>
      <c r="AQ87" s="243" t="s">
        <v>524</v>
      </c>
      <c r="AR87" s="289">
        <f>insumos!$I$103*1.8</f>
        <v>0.02088</v>
      </c>
      <c r="AS87" s="290" t="s">
        <v>537</v>
      </c>
      <c r="AT87" s="245"/>
      <c r="AU87" s="245"/>
      <c r="AV87" s="245"/>
      <c r="AW87" s="245"/>
      <c r="AX87" s="245"/>
      <c r="AY87" s="245"/>
      <c r="AZ87" s="281">
        <v>3741</v>
      </c>
      <c r="BA87" s="282" t="s">
        <v>500</v>
      </c>
      <c r="BB87" s="283">
        <f>insumos!$G$213</f>
        <v>0.8355871886120997</v>
      </c>
      <c r="BC87" s="284"/>
      <c r="BD87" s="285"/>
      <c r="BE87" s="281">
        <v>3741</v>
      </c>
      <c r="BF87" s="282" t="s">
        <v>500</v>
      </c>
      <c r="BG87" s="283">
        <f>insumos!$G$213</f>
        <v>0.8355871886120997</v>
      </c>
      <c r="BH87" s="284"/>
      <c r="BI87" s="245"/>
      <c r="BJ87" s="245"/>
      <c r="BK87" s="245"/>
      <c r="BL87" s="245"/>
      <c r="BM87" s="245"/>
      <c r="BN87" s="245"/>
      <c r="BO87" s="245"/>
      <c r="BP87" s="245"/>
      <c r="BQ87" s="245"/>
      <c r="BR87" s="245"/>
      <c r="BS87" s="245"/>
      <c r="BT87" s="245"/>
      <c r="BU87" s="245"/>
      <c r="BV87" s="245"/>
      <c r="BW87" s="245"/>
      <c r="BX87" s="245"/>
      <c r="BY87" s="275" t="s">
        <v>492</v>
      </c>
      <c r="BZ87" s="276" t="s">
        <v>495</v>
      </c>
      <c r="CA87" s="275" t="s">
        <v>467</v>
      </c>
      <c r="CB87" s="269"/>
      <c r="CC87" s="245"/>
      <c r="CD87" s="26" t="s">
        <v>515</v>
      </c>
      <c r="CE87" s="30" t="s">
        <v>516</v>
      </c>
      <c r="CF87" s="283">
        <f>+insumos!$G$283</f>
        <v>1.1</v>
      </c>
      <c r="CG87" s="284"/>
      <c r="CH87" s="245"/>
      <c r="CI87" s="281">
        <v>3741</v>
      </c>
      <c r="CJ87" s="282" t="s">
        <v>500</v>
      </c>
      <c r="CK87" s="31">
        <f>insumos!$G$213</f>
        <v>0.8355871886120997</v>
      </c>
      <c r="CL87" s="245"/>
      <c r="CM87" s="245"/>
      <c r="CN87" s="281">
        <v>4986</v>
      </c>
      <c r="CO87" s="1" t="s">
        <v>530</v>
      </c>
      <c r="CP87" s="283">
        <f>insumos!$H$255*3</f>
        <v>0.5699996367390061</v>
      </c>
      <c r="CQ87" s="284" t="s">
        <v>526</v>
      </c>
      <c r="CR87" s="245"/>
      <c r="CS87" s="26">
        <v>3817</v>
      </c>
      <c r="CT87" s="243" t="s">
        <v>524</v>
      </c>
      <c r="CU87" s="289">
        <f>insumos!$I$103*1.8</f>
        <v>0.02088</v>
      </c>
      <c r="CV87" s="1" t="s">
        <v>538</v>
      </c>
      <c r="CW87" s="245"/>
      <c r="CX87" s="245"/>
      <c r="CY87" s="245"/>
      <c r="CZ87" s="245"/>
      <c r="DA87" s="245"/>
      <c r="DB87" s="245"/>
      <c r="DC87" s="245"/>
      <c r="DD87" s="245"/>
      <c r="DE87" s="245"/>
      <c r="DF87" s="245"/>
      <c r="DG87" s="245"/>
      <c r="DH87" s="245"/>
      <c r="DI87" s="245"/>
      <c r="DJ87" s="245"/>
      <c r="DK87" s="245"/>
      <c r="DL87" s="245"/>
      <c r="DM87" s="281">
        <v>6184</v>
      </c>
      <c r="DN87" s="1" t="s">
        <v>502</v>
      </c>
      <c r="DO87" s="283">
        <f>insumos!$H$215</f>
        <v>0.6</v>
      </c>
      <c r="DP87" s="245"/>
      <c r="DQ87" s="245"/>
      <c r="DR87" s="245"/>
      <c r="DS87" s="245"/>
      <c r="DT87" s="245"/>
      <c r="DU87" s="245"/>
      <c r="DV87" s="245"/>
      <c r="DW87" s="245"/>
      <c r="DX87" s="245"/>
      <c r="DY87" s="245"/>
      <c r="DZ87" s="245"/>
      <c r="EA87" s="245"/>
      <c r="EB87" s="245"/>
      <c r="EC87" s="245"/>
      <c r="ED87" s="245"/>
      <c r="EE87" s="245"/>
    </row>
    <row r="88" spans="1:135" x14ac:dyDescent="0.25">
      <c r="A88" s="245"/>
      <c r="B88" s="275" t="s">
        <v>492</v>
      </c>
      <c r="C88" s="276" t="s">
        <v>495</v>
      </c>
      <c r="D88" s="275" t="s">
        <v>467</v>
      </c>
      <c r="E88" s="269"/>
      <c r="F88" s="245"/>
      <c r="G88" s="245"/>
      <c r="H88" s="245"/>
      <c r="I88" s="245"/>
      <c r="P88" s="245"/>
      <c r="Q88" s="275" t="s">
        <v>492</v>
      </c>
      <c r="R88" s="276" t="s">
        <v>495</v>
      </c>
      <c r="S88" s="275" t="s">
        <v>467</v>
      </c>
      <c r="T88" s="245"/>
      <c r="U88" s="245"/>
      <c r="V88" s="281">
        <v>2037</v>
      </c>
      <c r="W88" s="282" t="s">
        <v>511</v>
      </c>
      <c r="X88" s="283">
        <f>+insumos!$H$268</f>
        <v>0.65</v>
      </c>
      <c r="Y88" s="245"/>
      <c r="Z88" s="245"/>
      <c r="AA88" s="245"/>
      <c r="AB88" s="245"/>
      <c r="AC88" s="245"/>
      <c r="AD88" s="245"/>
      <c r="AE88" s="245"/>
      <c r="AF88" s="245"/>
      <c r="AG88" s="245"/>
      <c r="AH88" s="245"/>
      <c r="AI88" s="245"/>
      <c r="AJ88" s="245"/>
      <c r="AK88" s="245"/>
      <c r="AL88" s="245"/>
      <c r="AM88" s="245"/>
      <c r="AN88" s="245"/>
      <c r="AO88" s="245"/>
      <c r="AP88" s="26">
        <v>2173</v>
      </c>
      <c r="AQ88" s="243" t="s">
        <v>536</v>
      </c>
      <c r="AR88" s="289">
        <f>+insumos!$H$149*2</f>
        <v>0.0349502662966019</v>
      </c>
      <c r="AS88" s="291" t="s">
        <v>547</v>
      </c>
      <c r="AT88" s="245"/>
      <c r="AU88" s="245"/>
      <c r="AV88" s="245"/>
      <c r="AW88" s="245"/>
      <c r="AX88" s="245"/>
      <c r="AY88" s="245"/>
      <c r="AZ88" s="26" t="s">
        <v>515</v>
      </c>
      <c r="BA88" s="30" t="s">
        <v>516</v>
      </c>
      <c r="BB88" s="283">
        <f>+insumos!$G$283</f>
        <v>1.1</v>
      </c>
      <c r="BC88" s="284"/>
      <c r="BD88" s="285"/>
      <c r="BE88" s="26" t="s">
        <v>517</v>
      </c>
      <c r="BF88" s="30" t="s">
        <v>518</v>
      </c>
      <c r="BG88" s="283">
        <f>+insumos!$H$263</f>
        <v>1.6</v>
      </c>
      <c r="BH88" s="284"/>
      <c r="BI88" s="245"/>
      <c r="BJ88" s="245"/>
      <c r="BK88" s="245"/>
      <c r="BL88" s="245"/>
      <c r="BM88" s="245"/>
      <c r="BN88" s="245"/>
      <c r="BO88" s="245"/>
      <c r="BP88" s="245"/>
      <c r="BQ88" s="245"/>
      <c r="BR88" s="245"/>
      <c r="BS88" s="245"/>
      <c r="BT88" s="245"/>
      <c r="BU88" s="245"/>
      <c r="BV88" s="245"/>
      <c r="BW88" s="245"/>
      <c r="BX88" s="245"/>
      <c r="BY88" s="278"/>
      <c r="BZ88" s="279" t="s">
        <v>134</v>
      </c>
      <c r="CA88" s="278"/>
      <c r="CB88" s="269"/>
      <c r="CC88" s="245"/>
      <c r="CD88" s="281">
        <v>4986</v>
      </c>
      <c r="CE88" s="30" t="s">
        <v>530</v>
      </c>
      <c r="CF88" s="283">
        <f>insumos!$H$255*3</f>
        <v>0.5699996367390061</v>
      </c>
      <c r="CG88" s="284" t="s">
        <v>526</v>
      </c>
      <c r="CH88" s="245"/>
      <c r="CI88" s="26" t="s">
        <v>521</v>
      </c>
      <c r="CJ88" s="30" t="s">
        <v>522</v>
      </c>
      <c r="CK88" s="31">
        <f>+insumos!$H$274</f>
        <v>1.6</v>
      </c>
      <c r="CL88" s="245"/>
      <c r="CM88" s="245"/>
      <c r="CN88" s="281">
        <v>4542</v>
      </c>
      <c r="CO88" s="282" t="s">
        <v>527</v>
      </c>
      <c r="CP88" s="283">
        <f>insumos!$I$35</f>
        <v>0.022058823529411763</v>
      </c>
      <c r="CQ88" s="284"/>
      <c r="CR88" s="245"/>
      <c r="CS88" s="26">
        <v>2173</v>
      </c>
      <c r="CT88" s="243" t="s">
        <v>536</v>
      </c>
      <c r="CU88" s="289">
        <f>+insumos!$H$149*2</f>
        <v>0.0349502662966019</v>
      </c>
      <c r="CV88" s="1" t="s">
        <v>547</v>
      </c>
      <c r="CW88" s="245"/>
      <c r="CX88" s="245"/>
      <c r="CY88" s="245"/>
      <c r="CZ88" s="245"/>
      <c r="DA88" s="245"/>
      <c r="DB88" s="245"/>
      <c r="DC88" s="245"/>
      <c r="DD88" s="245"/>
      <c r="DE88" s="245"/>
      <c r="DF88" s="245"/>
      <c r="DG88" s="245"/>
      <c r="DH88" s="245"/>
      <c r="DI88" s="245"/>
      <c r="DJ88" s="245"/>
      <c r="DK88" s="245"/>
      <c r="DL88" s="245"/>
      <c r="DM88" s="281">
        <v>5523</v>
      </c>
      <c r="DN88" s="282" t="s">
        <v>508</v>
      </c>
      <c r="DO88" s="283">
        <f>+insumos!$H$285</f>
        <v>1.1829611337771098</v>
      </c>
      <c r="DP88" s="245"/>
      <c r="DQ88" s="245"/>
      <c r="DR88" s="245"/>
      <c r="DS88" s="245"/>
      <c r="DT88" s="245"/>
      <c r="DU88" s="245"/>
      <c r="DV88" s="245"/>
      <c r="DW88" s="245"/>
      <c r="DX88" s="245"/>
      <c r="DY88" s="245"/>
      <c r="DZ88" s="245"/>
      <c r="EA88" s="245"/>
      <c r="EB88" s="245"/>
      <c r="EC88" s="245"/>
      <c r="ED88" s="245"/>
      <c r="EE88" s="245"/>
    </row>
    <row r="89" spans="1:135" x14ac:dyDescent="0.25">
      <c r="A89" s="245"/>
      <c r="B89" s="278"/>
      <c r="C89" s="279" t="s">
        <v>134</v>
      </c>
      <c r="D89" s="278"/>
      <c r="E89" s="269"/>
      <c r="F89" s="245"/>
      <c r="G89" s="263">
        <v>437033</v>
      </c>
      <c r="H89" s="264" t="s">
        <v>751</v>
      </c>
      <c r="I89" s="267">
        <v>630</v>
      </c>
      <c r="J89" s="272">
        <f>I89/E2</f>
        <v>15.64828614008942</v>
      </c>
      <c r="K89" s="245"/>
      <c r="L89" s="263">
        <v>436124</v>
      </c>
      <c r="M89" s="264" t="s">
        <v>617</v>
      </c>
      <c r="N89" s="265">
        <v>399</v>
      </c>
      <c r="O89" s="266">
        <f>N89/E2</f>
        <v>9.910581222056633</v>
      </c>
      <c r="P89" s="245"/>
      <c r="Q89" s="278"/>
      <c r="R89" s="279" t="s">
        <v>134</v>
      </c>
      <c r="S89" s="278"/>
      <c r="T89" s="245"/>
      <c r="U89" s="245"/>
      <c r="V89" s="26" t="s">
        <v>533</v>
      </c>
      <c r="W89" s="30" t="s">
        <v>534</v>
      </c>
      <c r="X89" s="283">
        <f>insumos!$I$33</f>
        <v>0.049999554426770045</v>
      </c>
      <c r="Y89" s="287"/>
      <c r="Z89" s="245"/>
      <c r="AA89" s="263">
        <v>991031</v>
      </c>
      <c r="AB89" s="264" t="s">
        <v>621</v>
      </c>
      <c r="AC89" s="267"/>
      <c r="AD89" s="245"/>
      <c r="AE89" s="245"/>
      <c r="AF89" s="245"/>
      <c r="AG89" s="245"/>
      <c r="AH89" s="245"/>
      <c r="AI89" s="245"/>
      <c r="AJ89" s="245"/>
      <c r="AK89" s="263">
        <v>1987093</v>
      </c>
      <c r="AL89" s="264" t="s">
        <v>752</v>
      </c>
      <c r="AM89" s="267"/>
      <c r="AN89" s="245"/>
      <c r="AO89" s="245"/>
      <c r="AP89" s="281">
        <v>3636</v>
      </c>
      <c r="AQ89" s="282" t="s">
        <v>550</v>
      </c>
      <c r="AR89" s="283">
        <f>+insumos!$H$121</f>
        <v>0.0445</v>
      </c>
      <c r="AS89" s="284"/>
      <c r="AT89" s="245"/>
      <c r="AU89" s="245"/>
      <c r="AV89" s="245"/>
      <c r="AW89" s="245"/>
      <c r="AX89" s="245"/>
      <c r="AY89" s="245"/>
      <c r="AZ89" s="281">
        <v>4986</v>
      </c>
      <c r="BA89" s="30" t="s">
        <v>530</v>
      </c>
      <c r="BB89" s="283">
        <f>insumos!$H$255*3</f>
        <v>0.5699996367390061</v>
      </c>
      <c r="BC89" s="284" t="s">
        <v>526</v>
      </c>
      <c r="BD89" s="285"/>
      <c r="BE89" s="281">
        <v>4653</v>
      </c>
      <c r="BF89" s="282" t="s">
        <v>525</v>
      </c>
      <c r="BG89" s="283">
        <f>insumos!$H$254*3</f>
        <v>0.5592178831719787</v>
      </c>
      <c r="BH89" s="284" t="s">
        <v>526</v>
      </c>
      <c r="BI89" s="245"/>
      <c r="BJ89" s="245"/>
      <c r="BK89" s="245"/>
      <c r="BL89" s="245"/>
      <c r="BM89" s="245"/>
      <c r="BN89" s="245"/>
      <c r="BO89" s="245"/>
      <c r="BP89" s="245"/>
      <c r="BQ89" s="245"/>
      <c r="BR89" s="245"/>
      <c r="BS89" s="245"/>
      <c r="BT89" s="245"/>
      <c r="BU89" s="245"/>
      <c r="BV89" s="245"/>
      <c r="BW89" s="245"/>
      <c r="BX89" s="245"/>
      <c r="BY89" s="281">
        <v>5524</v>
      </c>
      <c r="BZ89" s="1" t="s">
        <v>501</v>
      </c>
      <c r="CA89" s="283">
        <f>insumos!$H$217</f>
        <v>0.8950000000000001</v>
      </c>
      <c r="CB89" s="269"/>
      <c r="CC89" s="245"/>
      <c r="CD89" s="26" t="s">
        <v>539</v>
      </c>
      <c r="CE89" s="30" t="s">
        <v>540</v>
      </c>
      <c r="CF89" s="283">
        <f>insumos!$H$45</f>
        <v>0.028</v>
      </c>
      <c r="CG89" s="284"/>
      <c r="CH89" s="245"/>
      <c r="CI89" s="281">
        <v>4653</v>
      </c>
      <c r="CJ89" s="282" t="s">
        <v>525</v>
      </c>
      <c r="CK89" s="283">
        <f>insumos!$H$254*3</f>
        <v>0.5592178831719787</v>
      </c>
      <c r="CL89" s="284" t="s">
        <v>526</v>
      </c>
      <c r="CM89" s="245"/>
      <c r="CN89" s="26">
        <v>3817</v>
      </c>
      <c r="CO89" s="243" t="s">
        <v>524</v>
      </c>
      <c r="CP89" s="289">
        <f>insumos!$I$103*1.8</f>
        <v>0.02088</v>
      </c>
      <c r="CQ89" s="290" t="s">
        <v>537</v>
      </c>
      <c r="CR89" s="245"/>
      <c r="CS89" s="281">
        <v>3636</v>
      </c>
      <c r="CT89" s="282" t="s">
        <v>550</v>
      </c>
      <c r="CU89" s="283">
        <f>+insumos!$H$121</f>
        <v>0.0445</v>
      </c>
      <c r="CW89" s="245"/>
      <c r="CX89" s="245"/>
      <c r="CY89" s="245"/>
      <c r="CZ89" s="245"/>
      <c r="DA89" s="245"/>
      <c r="DB89" s="245"/>
      <c r="DC89" s="245"/>
      <c r="DD89" s="245"/>
      <c r="DE89" s="245"/>
      <c r="DF89" s="245"/>
      <c r="DG89" s="245"/>
      <c r="DH89" s="245"/>
      <c r="DI89" s="245"/>
      <c r="DJ89" s="245"/>
      <c r="DK89" s="245"/>
      <c r="DL89" s="245"/>
      <c r="DM89" s="281">
        <v>4542</v>
      </c>
      <c r="DN89" s="282" t="s">
        <v>527</v>
      </c>
      <c r="DO89" s="283">
        <f>insumos!$I$35</f>
        <v>0.022058823529411763</v>
      </c>
      <c r="DP89" s="245"/>
      <c r="DQ89" s="245"/>
      <c r="DR89" s="245"/>
      <c r="DS89" s="245"/>
      <c r="DT89" s="245"/>
      <c r="DU89" s="245"/>
      <c r="DV89" s="245"/>
      <c r="DW89" s="245"/>
      <c r="DX89" s="245"/>
      <c r="DY89" s="245"/>
      <c r="DZ89" s="245"/>
      <c r="EA89" s="245"/>
      <c r="EB89" s="245"/>
      <c r="EC89" s="245"/>
      <c r="ED89" s="245"/>
      <c r="EE89" s="245"/>
    </row>
    <row r="90" spans="2:132" x14ac:dyDescent="0.25">
      <c r="B90" s="281">
        <v>3741</v>
      </c>
      <c r="C90" s="282" t="s">
        <v>500</v>
      </c>
      <c r="D90" s="283">
        <f>insumos!$G$213</f>
        <v>0.8355871886120997</v>
      </c>
      <c r="E90" s="284"/>
      <c r="F90" s="245"/>
      <c r="G90" s="275" t="s">
        <v>492</v>
      </c>
      <c r="H90" s="276" t="s">
        <v>495</v>
      </c>
      <c r="I90" s="275" t="s">
        <v>467</v>
      </c>
      <c r="J90" s="269"/>
      <c r="K90" s="245"/>
      <c r="L90" s="275" t="s">
        <v>492</v>
      </c>
      <c r="M90" s="277" t="s">
        <v>495</v>
      </c>
      <c r="N90" s="275" t="s">
        <v>467</v>
      </c>
      <c r="O90" s="245"/>
      <c r="Q90" s="281">
        <v>6184</v>
      </c>
      <c r="R90" s="1" t="s">
        <v>502</v>
      </c>
      <c r="S90" s="283">
        <f>insumos!$H$215</f>
        <v>0.6</v>
      </c>
      <c r="T90" s="245"/>
      <c r="V90" s="26">
        <v>3817</v>
      </c>
      <c r="W90" s="243" t="s">
        <v>524</v>
      </c>
      <c r="X90" s="289">
        <f>insumos!$I$103*1.8</f>
        <v>0.02088</v>
      </c>
      <c r="Y90" s="285" t="s">
        <v>538</v>
      </c>
      <c r="AA90" s="275" t="s">
        <v>492</v>
      </c>
      <c r="AB90" s="276" t="s">
        <v>495</v>
      </c>
      <c r="AC90" s="275" t="s">
        <v>467</v>
      </c>
      <c r="AD90" s="245"/>
      <c r="AK90" s="275" t="s">
        <v>492</v>
      </c>
      <c r="AL90" s="276" t="s">
        <v>495</v>
      </c>
      <c r="AM90" s="275" t="s">
        <v>467</v>
      </c>
      <c r="AN90" s="245"/>
      <c r="AP90" s="292"/>
      <c r="AQ90" s="279" t="s">
        <v>553</v>
      </c>
      <c r="AR90" s="293"/>
      <c r="AS90" s="284"/>
      <c r="AZ90" s="26" t="s">
        <v>539</v>
      </c>
      <c r="BA90" s="30" t="s">
        <v>540</v>
      </c>
      <c r="BB90" s="283">
        <f>insumos!$H$45</f>
        <v>0.028</v>
      </c>
      <c r="BC90" s="284"/>
      <c r="BD90" s="285"/>
      <c r="BE90" s="26" t="s">
        <v>541</v>
      </c>
      <c r="BF90" s="30" t="s">
        <v>542</v>
      </c>
      <c r="BG90" s="283">
        <f>insumos!$H$50</f>
        <v>0.027941176470588237</v>
      </c>
      <c r="BH90" s="284"/>
      <c r="BY90" s="281">
        <v>5523</v>
      </c>
      <c r="BZ90" s="282" t="s">
        <v>508</v>
      </c>
      <c r="CA90" s="283">
        <f>+insumos!$H$285</f>
        <v>1.1829611337771098</v>
      </c>
      <c r="CB90" s="269"/>
      <c r="CD90" s="26">
        <v>3817</v>
      </c>
      <c r="CE90" s="243" t="s">
        <v>524</v>
      </c>
      <c r="CF90" s="289">
        <f>insumos!$I$103*1.8</f>
        <v>0.02088</v>
      </c>
      <c r="CG90" s="290" t="s">
        <v>537</v>
      </c>
      <c r="CI90" s="281">
        <v>4541</v>
      </c>
      <c r="CJ90" s="282" t="s">
        <v>529</v>
      </c>
      <c r="CK90" s="283">
        <f>insumos!$H$43</f>
        <v>0.022058823529411766</v>
      </c>
      <c r="CL90" s="245"/>
      <c r="CN90" s="26">
        <v>2173</v>
      </c>
      <c r="CO90" s="243" t="s">
        <v>536</v>
      </c>
      <c r="CP90" s="289">
        <f>+insumos!$H$149*2</f>
        <v>0.0349502662966019</v>
      </c>
      <c r="CQ90" s="291" t="s">
        <v>547</v>
      </c>
      <c r="CS90" s="294"/>
      <c r="CT90" s="279" t="s">
        <v>553</v>
      </c>
      <c r="CU90" s="295"/>
      <c r="DH90" s="245"/>
      <c r="DI90" s="245"/>
      <c r="DJ90" s="245"/>
      <c r="DK90" s="245"/>
      <c r="DM90" s="26">
        <v>3817</v>
      </c>
      <c r="DN90" s="243" t="s">
        <v>524</v>
      </c>
      <c r="DO90" s="289">
        <f>insumos!$I$103*1.8</f>
        <v>0.02088</v>
      </c>
      <c r="DP90" s="285" t="s">
        <v>538</v>
      </c>
      <c r="DQ90" s="285"/>
      <c r="DR90" s="285"/>
      <c r="DS90" s="285"/>
      <c r="DT90" s="285"/>
      <c r="DU90" s="285"/>
      <c r="DV90" s="285"/>
      <c r="DW90" s="245"/>
      <c r="DX90" s="245"/>
      <c r="DY90" s="245"/>
      <c r="DZ90" s="285"/>
      <c r="EA90" s="285"/>
      <c r="EB90" s="285"/>
    </row>
    <row r="91" spans="2:132" x14ac:dyDescent="0.25">
      <c r="B91" s="281">
        <v>3759</v>
      </c>
      <c r="C91" s="1" t="s">
        <v>507</v>
      </c>
      <c r="D91" s="283">
        <f>+insumos!$G$284</f>
        <v>1.1352416613292604</v>
      </c>
      <c r="E91" s="284"/>
      <c r="F91" s="245"/>
      <c r="G91" s="278"/>
      <c r="H91" s="279" t="s">
        <v>134</v>
      </c>
      <c r="I91" s="278"/>
      <c r="J91" s="269"/>
      <c r="K91" s="245"/>
      <c r="L91" s="278"/>
      <c r="M91" s="280" t="s">
        <v>134</v>
      </c>
      <c r="N91" s="278"/>
      <c r="O91" s="245"/>
      <c r="Q91" s="281">
        <v>2037</v>
      </c>
      <c r="R91" s="282" t="s">
        <v>511</v>
      </c>
      <c r="S91" s="283">
        <f>+insumos!$H$268</f>
        <v>0.65</v>
      </c>
      <c r="T91" s="245"/>
      <c r="V91" s="26">
        <v>2173</v>
      </c>
      <c r="W91" s="243" t="s">
        <v>536</v>
      </c>
      <c r="X91" s="289">
        <f>+insumos!$H$149*2</f>
        <v>0.0349502662966019</v>
      </c>
      <c r="Y91" s="1" t="s">
        <v>547</v>
      </c>
      <c r="AA91" s="278"/>
      <c r="AB91" s="279" t="s">
        <v>134</v>
      </c>
      <c r="AC91" s="278"/>
      <c r="AD91" s="245"/>
      <c r="AK91" s="278"/>
      <c r="AL91" s="279" t="s">
        <v>134</v>
      </c>
      <c r="AM91" s="278"/>
      <c r="AN91" s="245"/>
      <c r="AP91" s="26" t="s">
        <v>655</v>
      </c>
      <c r="AQ91" s="30" t="s">
        <v>656</v>
      </c>
      <c r="AR91" s="283">
        <f>insumos!$H$56*12</f>
        <v>2.304</v>
      </c>
      <c r="AS91" s="300" t="s">
        <v>753</v>
      </c>
      <c r="AZ91" s="26">
        <v>3817</v>
      </c>
      <c r="BA91" s="243" t="s">
        <v>524</v>
      </c>
      <c r="BB91" s="289">
        <f>insumos!$I$103*1.8</f>
        <v>0.02088</v>
      </c>
      <c r="BC91" s="290" t="s">
        <v>537</v>
      </c>
      <c r="BD91" s="290"/>
      <c r="BE91" s="26">
        <v>3817</v>
      </c>
      <c r="BF91" s="243" t="s">
        <v>524</v>
      </c>
      <c r="BG91" s="289">
        <f>insumos!$I$103*1.8</f>
        <v>0.02088</v>
      </c>
      <c r="BH91" s="290" t="s">
        <v>537</v>
      </c>
      <c r="BY91" s="281">
        <v>4986</v>
      </c>
      <c r="BZ91" s="1" t="s">
        <v>530</v>
      </c>
      <c r="CA91" s="283">
        <f>insumos!$H$255*3</f>
        <v>0.5699996367390061</v>
      </c>
      <c r="CB91" s="284" t="s">
        <v>526</v>
      </c>
      <c r="CD91" s="26">
        <v>2173</v>
      </c>
      <c r="CE91" s="243" t="s">
        <v>536</v>
      </c>
      <c r="CF91" s="289">
        <f>+insumos!$H$149*2</f>
        <v>0.0349502662966019</v>
      </c>
      <c r="CG91" s="291" t="s">
        <v>547</v>
      </c>
      <c r="CI91" s="26">
        <v>3817</v>
      </c>
      <c r="CJ91" s="243" t="s">
        <v>524</v>
      </c>
      <c r="CK91" s="289">
        <f>insumos!$I$103*1.8</f>
        <v>0.02088</v>
      </c>
      <c r="CL91" s="1" t="s">
        <v>538</v>
      </c>
      <c r="CN91" s="281">
        <v>3636</v>
      </c>
      <c r="CO91" s="282" t="s">
        <v>550</v>
      </c>
      <c r="CP91" s="283">
        <f>+insumos!$H$121</f>
        <v>0.0445</v>
      </c>
      <c r="CS91" s="26" t="s">
        <v>566</v>
      </c>
      <c r="CT91" s="30" t="s">
        <v>567</v>
      </c>
      <c r="CU91" s="283">
        <f>insumos!$H$113*15</f>
        <v>0.40514180793257176</v>
      </c>
      <c r="CV91" s="1" t="s">
        <v>593</v>
      </c>
      <c r="DH91" s="245"/>
      <c r="DI91" s="245"/>
      <c r="DJ91" s="245"/>
      <c r="DM91" s="26">
        <v>2173</v>
      </c>
      <c r="DN91" s="243" t="s">
        <v>536</v>
      </c>
      <c r="DO91" s="289">
        <f>+insumos!$H$149*2</f>
        <v>0.0349502662966019</v>
      </c>
      <c r="DP91" s="1" t="s">
        <v>547</v>
      </c>
      <c r="DQ91" s="1"/>
      <c r="DR91" s="1"/>
      <c r="DS91" s="1"/>
      <c r="DT91" s="1"/>
      <c r="DU91" s="1"/>
      <c r="DV91" s="1"/>
      <c r="DW91" s="245"/>
      <c r="DX91" s="245"/>
      <c r="DY91" s="245"/>
      <c r="DZ91" s="1"/>
      <c r="EA91" s="1"/>
      <c r="EB91" s="1"/>
    </row>
    <row r="92" spans="2:132" x14ac:dyDescent="0.25">
      <c r="B92" s="281">
        <v>4653</v>
      </c>
      <c r="C92" s="282" t="s">
        <v>525</v>
      </c>
      <c r="D92" s="283">
        <f>insumos!$H$254*3</f>
        <v>0.5592178831719787</v>
      </c>
      <c r="E92" s="284" t="s">
        <v>526</v>
      </c>
      <c r="F92" s="245"/>
      <c r="G92" s="281">
        <v>5524</v>
      </c>
      <c r="H92" s="1" t="s">
        <v>501</v>
      </c>
      <c r="I92" s="283">
        <f>insumos!$H$217</f>
        <v>0.8950000000000001</v>
      </c>
      <c r="J92" s="284"/>
      <c r="K92" s="285"/>
      <c r="L92" s="281">
        <v>5524</v>
      </c>
      <c r="M92" s="1" t="s">
        <v>501</v>
      </c>
      <c r="N92" s="283">
        <f>insumos!$H$217</f>
        <v>0.8950000000000001</v>
      </c>
      <c r="O92" s="285"/>
      <c r="Q92" s="281">
        <v>4542</v>
      </c>
      <c r="R92" s="282" t="s">
        <v>527</v>
      </c>
      <c r="S92" s="283">
        <f>insumos!$I$35</f>
        <v>0.022058823529411763</v>
      </c>
      <c r="V92" s="281">
        <v>3636</v>
      </c>
      <c r="W92" s="282" t="s">
        <v>550</v>
      </c>
      <c r="X92" s="283">
        <f>+insumos!$H$121</f>
        <v>0.0445</v>
      </c>
      <c r="Y92" s="245"/>
      <c r="AA92" s="281">
        <v>6184</v>
      </c>
      <c r="AB92" s="1" t="s">
        <v>502</v>
      </c>
      <c r="AC92" s="283">
        <f>insumos!$H$215</f>
        <v>0.6</v>
      </c>
      <c r="AD92" s="245"/>
      <c r="AK92" s="281">
        <v>6184</v>
      </c>
      <c r="AL92" s="1" t="s">
        <v>502</v>
      </c>
      <c r="AM92" s="283">
        <f>insumos!$H$215</f>
        <v>0.6</v>
      </c>
      <c r="AN92" s="245"/>
      <c r="AP92" s="26" t="s">
        <v>566</v>
      </c>
      <c r="AQ92" s="30" t="s">
        <v>567</v>
      </c>
      <c r="AR92" s="283">
        <f>insumos!$H$113*12</f>
        <v>0.32411344634605743</v>
      </c>
      <c r="AS92" s="300" t="s">
        <v>753</v>
      </c>
      <c r="AZ92" s="26">
        <v>2173</v>
      </c>
      <c r="BA92" s="243" t="s">
        <v>536</v>
      </c>
      <c r="BB92" s="289">
        <f>+insumos!$H$149*2</f>
        <v>0.0349502662966019</v>
      </c>
      <c r="BC92" s="291" t="s">
        <v>547</v>
      </c>
      <c r="BD92" s="291"/>
      <c r="BE92" s="26">
        <v>2173</v>
      </c>
      <c r="BF92" s="243" t="s">
        <v>536</v>
      </c>
      <c r="BG92" s="289">
        <f>+insumos!$H$149*2</f>
        <v>0.0349502662966019</v>
      </c>
      <c r="BH92" s="291" t="s">
        <v>547</v>
      </c>
      <c r="BY92" s="281">
        <v>4542</v>
      </c>
      <c r="BZ92" s="282" t="s">
        <v>527</v>
      </c>
      <c r="CA92" s="283">
        <f>insumos!$I$35</f>
        <v>0.022058823529411763</v>
      </c>
      <c r="CB92" s="284"/>
      <c r="CD92" s="281">
        <v>3636</v>
      </c>
      <c r="CE92" s="282" t="s">
        <v>550</v>
      </c>
      <c r="CF92" s="283">
        <f>+insumos!$H$121</f>
        <v>0.0445</v>
      </c>
      <c r="CG92" s="284"/>
      <c r="CI92" s="26">
        <v>2173</v>
      </c>
      <c r="CJ92" s="243" t="s">
        <v>536</v>
      </c>
      <c r="CK92" s="289">
        <f>+insumos!$H$149*2</f>
        <v>0.0349502662966019</v>
      </c>
      <c r="CL92" s="1" t="s">
        <v>547</v>
      </c>
      <c r="CN92" s="292"/>
      <c r="CO92" s="279" t="s">
        <v>553</v>
      </c>
      <c r="CP92" s="293"/>
      <c r="CS92" s="26" t="s">
        <v>596</v>
      </c>
      <c r="CT92" s="30" t="s">
        <v>742</v>
      </c>
      <c r="CU92" s="283">
        <f>insumos!$H$53*15</f>
        <v>2.3400000000000003</v>
      </c>
      <c r="CV92" s="1" t="s">
        <v>593</v>
      </c>
      <c r="DM92" s="281">
        <v>3636</v>
      </c>
      <c r="DN92" s="282" t="s">
        <v>550</v>
      </c>
      <c r="DO92" s="283">
        <f>+insumos!$H$121</f>
        <v>0.0445</v>
      </c>
      <c r="DP92" s="245"/>
      <c r="DQ92" s="245"/>
      <c r="DR92" s="245"/>
      <c r="DS92" s="245"/>
      <c r="DT92" s="245"/>
      <c r="DU92" s="245"/>
      <c r="DV92" s="245"/>
      <c r="DW92" s="285"/>
      <c r="DX92" s="285"/>
      <c r="DY92" s="285"/>
      <c r="DZ92" s="245"/>
      <c r="EA92" s="245"/>
      <c r="EB92" s="245"/>
    </row>
    <row r="93" spans="2:132" x14ac:dyDescent="0.25">
      <c r="B93" s="281">
        <v>4541</v>
      </c>
      <c r="C93" s="282" t="s">
        <v>528</v>
      </c>
      <c r="D93" s="283">
        <f>insumos!$H$43</f>
        <v>0.022058823529411766</v>
      </c>
      <c r="E93" s="284"/>
      <c r="F93" s="245"/>
      <c r="G93" s="281">
        <v>5523</v>
      </c>
      <c r="H93" s="282" t="s">
        <v>508</v>
      </c>
      <c r="I93" s="283">
        <f>+insumos!$H$285</f>
        <v>1.1829611337771098</v>
      </c>
      <c r="J93" s="284"/>
      <c r="K93" s="285"/>
      <c r="L93" s="26" t="s">
        <v>513</v>
      </c>
      <c r="M93" s="30" t="s">
        <v>514</v>
      </c>
      <c r="N93" s="283">
        <f>+insumos!$H$266</f>
        <v>1.1500000000000001</v>
      </c>
      <c r="O93" s="285"/>
      <c r="Q93" s="26">
        <v>3817</v>
      </c>
      <c r="R93" s="243" t="s">
        <v>524</v>
      </c>
      <c r="S93" s="289">
        <f>insumos!$I$103*1.8</f>
        <v>0.02088</v>
      </c>
      <c r="T93" s="285" t="s">
        <v>538</v>
      </c>
      <c r="V93" s="292"/>
      <c r="W93" s="279" t="s">
        <v>553</v>
      </c>
      <c r="X93" s="293"/>
      <c r="Y93" s="245"/>
      <c r="AA93" s="281">
        <v>2037</v>
      </c>
      <c r="AB93" s="282" t="s">
        <v>511</v>
      </c>
      <c r="AC93" s="283">
        <f>+insumos!$H$268</f>
        <v>0.65</v>
      </c>
      <c r="AD93" s="245"/>
      <c r="AK93" s="281">
        <v>5523</v>
      </c>
      <c r="AL93" s="282" t="s">
        <v>508</v>
      </c>
      <c r="AM93" s="283">
        <f>+insumos!$H$285</f>
        <v>1.1829611337771098</v>
      </c>
      <c r="AN93" s="245"/>
      <c r="AP93" s="297"/>
      <c r="AQ93" s="298" t="s">
        <v>5</v>
      </c>
      <c r="AR93" s="299">
        <f>SUM(AR84:AR92)</f>
        <v>4.721331386113431</v>
      </c>
      <c r="AS93" s="269"/>
      <c r="AZ93" s="281">
        <v>3636</v>
      </c>
      <c r="BA93" s="282" t="s">
        <v>550</v>
      </c>
      <c r="BB93" s="283">
        <f>+insumos!$H$121</f>
        <v>0.0445</v>
      </c>
      <c r="BC93" s="284"/>
      <c r="BD93" s="285"/>
      <c r="BE93" s="281">
        <v>3636</v>
      </c>
      <c r="BF93" s="282" t="s">
        <v>550</v>
      </c>
      <c r="BG93" s="283">
        <f>+insumos!$H$121</f>
        <v>0.0445</v>
      </c>
      <c r="BH93" s="284"/>
      <c r="BY93" s="26">
        <v>3817</v>
      </c>
      <c r="BZ93" s="243" t="s">
        <v>524</v>
      </c>
      <c r="CA93" s="289">
        <f>insumos!$I$103*1.8</f>
        <v>0.02088</v>
      </c>
      <c r="CB93" s="290" t="s">
        <v>537</v>
      </c>
      <c r="CD93" s="292"/>
      <c r="CE93" s="279" t="s">
        <v>553</v>
      </c>
      <c r="CF93" s="293"/>
      <c r="CG93" s="284"/>
      <c r="CI93" s="281">
        <v>3636</v>
      </c>
      <c r="CJ93" s="282" t="s">
        <v>550</v>
      </c>
      <c r="CK93" s="283">
        <f>+insumos!$H$121</f>
        <v>0.0445</v>
      </c>
      <c r="CN93" s="281">
        <v>6208</v>
      </c>
      <c r="CO93" s="282" t="s">
        <v>573</v>
      </c>
      <c r="CP93" s="283">
        <f>insumos!$H$188*12</f>
        <v>1.0929882352941176</v>
      </c>
      <c r="CQ93" s="300" t="s">
        <v>568</v>
      </c>
      <c r="CS93" s="26"/>
      <c r="CT93" s="1"/>
      <c r="CU93" s="31"/>
      <c r="CV93" s="296"/>
      <c r="DM93" s="292"/>
      <c r="DN93" s="279" t="s">
        <v>553</v>
      </c>
      <c r="DO93" s="293"/>
      <c r="DP93" s="245"/>
      <c r="DQ93" s="245"/>
      <c r="DR93" s="245"/>
      <c r="DS93" s="245"/>
      <c r="DT93" s="245"/>
      <c r="DU93" s="245"/>
      <c r="DV93" s="245"/>
      <c r="DW93" s="1"/>
      <c r="DX93" s="1"/>
      <c r="DY93" s="1"/>
      <c r="DZ93" s="245"/>
      <c r="EA93" s="245"/>
      <c r="EB93" s="245"/>
    </row>
    <row r="94" spans="2:132" x14ac:dyDescent="0.25">
      <c r="B94" s="26">
        <v>3817</v>
      </c>
      <c r="C94" s="243" t="s">
        <v>524</v>
      </c>
      <c r="D94" s="289">
        <f>insumos!$I$103*1.8</f>
        <v>0.02088</v>
      </c>
      <c r="E94" s="290" t="s">
        <v>537</v>
      </c>
      <c r="F94" s="245"/>
      <c r="G94" s="281">
        <v>4542</v>
      </c>
      <c r="H94" s="282" t="s">
        <v>527</v>
      </c>
      <c r="I94" s="283">
        <f>insumos!$I$35</f>
        <v>0.022058823529411763</v>
      </c>
      <c r="J94" s="284"/>
      <c r="K94" s="285"/>
      <c r="L94" s="281">
        <v>4542</v>
      </c>
      <c r="M94" s="286" t="s">
        <v>527</v>
      </c>
      <c r="N94" s="283">
        <f>insumos!$I$35</f>
        <v>0.022058823529411763</v>
      </c>
      <c r="O94" s="285"/>
      <c r="Q94" s="26">
        <v>2173</v>
      </c>
      <c r="R94" s="243" t="s">
        <v>536</v>
      </c>
      <c r="S94" s="289">
        <f>+insumos!$H$149*2</f>
        <v>0.0349502662966019</v>
      </c>
      <c r="T94" s="1" t="s">
        <v>547</v>
      </c>
      <c r="V94" s="26"/>
      <c r="W94" s="30"/>
      <c r="X94" s="283"/>
      <c r="Y94" s="1"/>
      <c r="AA94" s="281">
        <v>4542</v>
      </c>
      <c r="AB94" s="282" t="s">
        <v>527</v>
      </c>
      <c r="AC94" s="283">
        <f>insumos!$I$35</f>
        <v>0.022058823529411763</v>
      </c>
      <c r="AD94" s="245"/>
      <c r="AK94" s="281">
        <v>4542</v>
      </c>
      <c r="AL94" s="282" t="s">
        <v>527</v>
      </c>
      <c r="AM94" s="283">
        <f>insumos!$I$35</f>
        <v>0.022058823529411763</v>
      </c>
      <c r="AN94" s="1"/>
      <c r="AP94" s="281"/>
      <c r="AQ94" s="282" t="s">
        <v>587</v>
      </c>
      <c r="AR94" s="304">
        <f>24848.3/1994</f>
        <v>12.461534603811433</v>
      </c>
      <c r="AS94" s="269"/>
      <c r="AZ94" s="292"/>
      <c r="BA94" s="279" t="s">
        <v>553</v>
      </c>
      <c r="BB94" s="293"/>
      <c r="BC94" s="284"/>
      <c r="BD94" s="285"/>
      <c r="BE94" s="292"/>
      <c r="BF94" s="279" t="s">
        <v>553</v>
      </c>
      <c r="BG94" s="293"/>
      <c r="BH94" s="284"/>
      <c r="BY94" s="26">
        <v>2173</v>
      </c>
      <c r="BZ94" s="243" t="s">
        <v>536</v>
      </c>
      <c r="CA94" s="289">
        <f>+insumos!$H$149*2</f>
        <v>0.0349502662966019</v>
      </c>
      <c r="CB94" s="291" t="s">
        <v>547</v>
      </c>
      <c r="CD94" s="26" t="s">
        <v>566</v>
      </c>
      <c r="CE94" s="30" t="s">
        <v>567</v>
      </c>
      <c r="CF94" s="283">
        <f>insumos!$H$113*9</f>
        <v>0.24308508475954307</v>
      </c>
      <c r="CG94" s="296" t="s">
        <v>579</v>
      </c>
      <c r="CI94" s="294"/>
      <c r="CJ94" s="279" t="s">
        <v>553</v>
      </c>
      <c r="CK94" s="295"/>
      <c r="CN94" s="281">
        <v>5202</v>
      </c>
      <c r="CO94" s="282" t="s">
        <v>586</v>
      </c>
      <c r="CP94" s="283">
        <f>insumos!$H$114*12</f>
        <v>0.3161371428571429</v>
      </c>
      <c r="CQ94" s="300" t="s">
        <v>568</v>
      </c>
      <c r="CS94" s="297"/>
      <c r="CT94" s="298" t="s">
        <v>5</v>
      </c>
      <c r="CU94" s="299">
        <f>SUM(CU83:CU93)</f>
        <v>5.4104915471877035</v>
      </c>
      <c r="DM94" s="26" t="s">
        <v>653</v>
      </c>
      <c r="DN94" s="30" t="s">
        <v>654</v>
      </c>
      <c r="DO94" s="283">
        <f>insumos!$H$224*10</f>
        <v>1</v>
      </c>
      <c r="DP94" s="1" t="s">
        <v>563</v>
      </c>
      <c r="DQ94" s="1"/>
      <c r="DR94" s="1"/>
      <c r="DS94" s="1"/>
      <c r="DT94" s="1"/>
      <c r="DU94" s="1"/>
      <c r="DV94" s="1"/>
      <c r="DW94" s="245"/>
      <c r="DX94" s="245"/>
      <c r="DY94" s="245"/>
      <c r="DZ94" s="1"/>
      <c r="EA94" s="1"/>
      <c r="EB94" s="1"/>
    </row>
    <row r="95" spans="2:132" x14ac:dyDescent="0.25">
      <c r="B95" s="26">
        <v>2173</v>
      </c>
      <c r="C95" s="243" t="s">
        <v>536</v>
      </c>
      <c r="D95" s="289">
        <f>+insumos!$H$149*2</f>
        <v>0.0349502662966019</v>
      </c>
      <c r="E95" s="291" t="s">
        <v>547</v>
      </c>
      <c r="F95" s="285"/>
      <c r="G95" s="26">
        <v>3817</v>
      </c>
      <c r="H95" s="243" t="s">
        <v>524</v>
      </c>
      <c r="I95" s="289">
        <f>insumos!$I$103*1.8</f>
        <v>0.02088</v>
      </c>
      <c r="J95" s="290" t="s">
        <v>537</v>
      </c>
      <c r="K95" s="290"/>
      <c r="L95" s="26">
        <v>3817</v>
      </c>
      <c r="M95" s="288" t="s">
        <v>524</v>
      </c>
      <c r="N95" s="289">
        <f>insumos!$I$103*1.8</f>
        <v>0.02088</v>
      </c>
      <c r="O95" s="290" t="s">
        <v>537</v>
      </c>
      <c r="Q95" s="281">
        <v>3636</v>
      </c>
      <c r="R95" s="282" t="s">
        <v>550</v>
      </c>
      <c r="S95" s="283">
        <f>+insumos!$H$121</f>
        <v>0.0445</v>
      </c>
      <c r="T95" s="245"/>
      <c r="V95" s="26"/>
      <c r="W95" s="30"/>
      <c r="X95" s="283"/>
      <c r="Y95" s="1"/>
      <c r="AA95" s="26">
        <v>3817</v>
      </c>
      <c r="AB95" s="243" t="s">
        <v>524</v>
      </c>
      <c r="AC95" s="289">
        <f>insumos!$I$103*1.8</f>
        <v>0.02088</v>
      </c>
      <c r="AD95" s="285" t="s">
        <v>538</v>
      </c>
      <c r="AK95" s="26">
        <v>3817</v>
      </c>
      <c r="AL95" s="243" t="s">
        <v>524</v>
      </c>
      <c r="AM95" s="289">
        <f>insumos!$I$103*1.8</f>
        <v>0.02088</v>
      </c>
      <c r="AN95" s="285" t="s">
        <v>538</v>
      </c>
      <c r="AP95" s="281"/>
      <c r="AQ95" s="307" t="s">
        <v>599</v>
      </c>
      <c r="AR95" s="308">
        <f>+AR93/AR94</f>
        <v>0.3788723890129378</v>
      </c>
      <c r="AS95" s="269"/>
      <c r="AZ95" s="281">
        <v>4102</v>
      </c>
      <c r="BA95" s="282" t="s">
        <v>576</v>
      </c>
      <c r="BB95" s="283">
        <f>insumos!$H$115*12</f>
        <v>0.396</v>
      </c>
      <c r="BC95" s="300" t="s">
        <v>568</v>
      </c>
      <c r="BD95" s="291"/>
      <c r="BE95" s="26" t="s">
        <v>566</v>
      </c>
      <c r="BF95" s="30" t="s">
        <v>567</v>
      </c>
      <c r="BG95" s="283">
        <f>insumos!$H$113*16</f>
        <v>0.4321512617947432</v>
      </c>
      <c r="BH95" s="300" t="s">
        <v>580</v>
      </c>
      <c r="BY95" s="281">
        <v>3636</v>
      </c>
      <c r="BZ95" s="282" t="s">
        <v>550</v>
      </c>
      <c r="CA95" s="283">
        <f>+insumos!$H$121</f>
        <v>0.0445</v>
      </c>
      <c r="CD95" s="281">
        <v>6229</v>
      </c>
      <c r="CE95" s="30" t="s">
        <v>588</v>
      </c>
      <c r="CF95" s="283">
        <f>insumos!$I$265*9</f>
        <v>0.19369139986822123</v>
      </c>
      <c r="CG95" s="296" t="s">
        <v>579</v>
      </c>
      <c r="CI95" s="26" t="s">
        <v>566</v>
      </c>
      <c r="CJ95" s="30" t="s">
        <v>567</v>
      </c>
      <c r="CK95" s="283">
        <f>insumos!$H$113*12</f>
        <v>0.32411344634605743</v>
      </c>
      <c r="CL95" s="300" t="s">
        <v>568</v>
      </c>
      <c r="CN95" s="281">
        <v>6229</v>
      </c>
      <c r="CO95" s="30" t="s">
        <v>588</v>
      </c>
      <c r="CP95" s="283">
        <f>insumos!$I$265*12</f>
        <v>0.25825519982429496</v>
      </c>
      <c r="CQ95" s="300" t="s">
        <v>568</v>
      </c>
      <c r="CS95" s="281"/>
      <c r="CT95" s="282" t="s">
        <v>587</v>
      </c>
      <c r="CU95" s="304">
        <v>17.55</v>
      </c>
      <c r="DM95" s="297"/>
      <c r="DN95" s="298" t="s">
        <v>5</v>
      </c>
      <c r="DO95" s="299">
        <f>SUM(DO87:DO94)</f>
        <v>2.905350223603123</v>
      </c>
      <c r="DP95" s="245"/>
      <c r="DQ95" s="245"/>
      <c r="DR95" s="245"/>
      <c r="DS95" s="245"/>
      <c r="DT95" s="245"/>
      <c r="DU95" s="245"/>
      <c r="DV95" s="245"/>
      <c r="DW95" s="245"/>
      <c r="DX95" s="245"/>
      <c r="DY95" s="245"/>
      <c r="DZ95" s="245"/>
      <c r="EA95" s="245"/>
      <c r="EB95" s="245"/>
    </row>
    <row r="96" spans="2:132" x14ac:dyDescent="0.25">
      <c r="B96" s="281">
        <v>3636</v>
      </c>
      <c r="C96" s="282" t="s">
        <v>550</v>
      </c>
      <c r="D96" s="283">
        <f>+insumos!$H$121</f>
        <v>0.0445</v>
      </c>
      <c r="E96" s="284"/>
      <c r="F96" s="245"/>
      <c r="G96" s="26">
        <v>2173</v>
      </c>
      <c r="H96" s="243" t="s">
        <v>536</v>
      </c>
      <c r="I96" s="289">
        <f>+insumos!$H$149*2</f>
        <v>0.0349502662966019</v>
      </c>
      <c r="J96" s="291" t="s">
        <v>547</v>
      </c>
      <c r="K96" s="291"/>
      <c r="L96" s="26">
        <v>2173</v>
      </c>
      <c r="M96" s="288" t="s">
        <v>536</v>
      </c>
      <c r="N96" s="289">
        <f>+insumos!$H$149*2</f>
        <v>0.0349502662966019</v>
      </c>
      <c r="O96" s="291" t="s">
        <v>547</v>
      </c>
      <c r="Q96" s="292"/>
      <c r="R96" s="279" t="s">
        <v>553</v>
      </c>
      <c r="S96" s="293"/>
      <c r="T96" s="245"/>
      <c r="V96" s="297"/>
      <c r="W96" s="298" t="s">
        <v>5</v>
      </c>
      <c r="X96" s="299">
        <f>SUM(X87:X95)</f>
        <v>1.4003298207233719</v>
      </c>
      <c r="Y96" s="245"/>
      <c r="AA96" s="26">
        <v>2173</v>
      </c>
      <c r="AB96" s="243" t="s">
        <v>536</v>
      </c>
      <c r="AC96" s="289">
        <f>+insumos!$H$149*2</f>
        <v>0.0349502662966019</v>
      </c>
      <c r="AD96" s="1" t="s">
        <v>547</v>
      </c>
      <c r="AK96" s="26">
        <v>2173</v>
      </c>
      <c r="AL96" s="243" t="s">
        <v>536</v>
      </c>
      <c r="AM96" s="289">
        <f>+insumos!$H$149*2</f>
        <v>0.0349502662966019</v>
      </c>
      <c r="AN96" s="1" t="s">
        <v>547</v>
      </c>
      <c r="AP96" s="311"/>
      <c r="AQ96" s="307" t="s">
        <v>604</v>
      </c>
      <c r="AR96" s="308">
        <f>AR95*1.03</f>
        <v>0.39023856068332596</v>
      </c>
      <c r="AS96" s="269"/>
      <c r="AZ96" s="281">
        <v>6229</v>
      </c>
      <c r="BA96" s="30" t="s">
        <v>588</v>
      </c>
      <c r="BB96" s="283">
        <f>insumos!$I$265*12</f>
        <v>0.25825519982429496</v>
      </c>
      <c r="BC96" s="300" t="s">
        <v>568</v>
      </c>
      <c r="BD96" s="291"/>
      <c r="BE96" s="281">
        <v>6229</v>
      </c>
      <c r="BF96" s="30" t="s">
        <v>588</v>
      </c>
      <c r="BG96" s="283">
        <f>insumos!$I$265*16</f>
        <v>0.3443402664323933</v>
      </c>
      <c r="BH96" s="300" t="s">
        <v>580</v>
      </c>
      <c r="BY96" s="292"/>
      <c r="BZ96" s="279" t="s">
        <v>553</v>
      </c>
      <c r="CA96" s="293"/>
      <c r="CD96" s="281">
        <v>6254</v>
      </c>
      <c r="CE96" s="30" t="s">
        <v>600</v>
      </c>
      <c r="CF96" s="283">
        <f>+insumos!$I$208*9</f>
        <v>0.40011704877760473</v>
      </c>
      <c r="CG96" s="296" t="s">
        <v>579</v>
      </c>
      <c r="CI96" s="281">
        <v>6229</v>
      </c>
      <c r="CJ96" s="30" t="s">
        <v>588</v>
      </c>
      <c r="CK96" s="283">
        <f>insumos!$I$265*12</f>
        <v>0.25825519982429496</v>
      </c>
      <c r="CL96" s="300" t="s">
        <v>568</v>
      </c>
      <c r="CN96" s="281">
        <v>6254</v>
      </c>
      <c r="CO96" s="30" t="s">
        <v>600</v>
      </c>
      <c r="CP96" s="283">
        <f>+insumos!$I$208*12</f>
        <v>0.5334893983701396</v>
      </c>
      <c r="CQ96" s="300" t="s">
        <v>568</v>
      </c>
      <c r="CS96" s="281"/>
      <c r="CT96" s="307" t="s">
        <v>599</v>
      </c>
      <c r="CU96" s="308">
        <f>+CU94/CU95</f>
        <v>0.30829011664887196</v>
      </c>
      <c r="CV96" s="245"/>
      <c r="DM96" s="281"/>
      <c r="DN96" s="282" t="s">
        <v>587</v>
      </c>
      <c r="DO96" s="281">
        <v>27.21</v>
      </c>
      <c r="DP96" s="245"/>
      <c r="DQ96" s="245"/>
      <c r="DR96" s="245"/>
      <c r="DS96" s="245"/>
      <c r="DT96" s="245"/>
      <c r="DU96" s="245"/>
      <c r="DV96" s="245"/>
      <c r="DW96" s="1"/>
      <c r="DX96" s="1"/>
      <c r="DY96" s="1"/>
      <c r="DZ96" s="245"/>
      <c r="EA96" s="245"/>
      <c r="EB96" s="245"/>
    </row>
    <row r="97" spans="2:132" x14ac:dyDescent="0.25">
      <c r="B97" s="292"/>
      <c r="C97" s="279" t="s">
        <v>553</v>
      </c>
      <c r="D97" s="293"/>
      <c r="E97" s="284"/>
      <c r="F97" s="1"/>
      <c r="G97" s="281">
        <v>3636</v>
      </c>
      <c r="H97" s="282" t="s">
        <v>550</v>
      </c>
      <c r="I97" s="283">
        <f>+insumos!$H$121</f>
        <v>0.0445</v>
      </c>
      <c r="J97" s="284"/>
      <c r="K97" s="285"/>
      <c r="L97" s="281">
        <v>3636</v>
      </c>
      <c r="M97" s="286" t="s">
        <v>550</v>
      </c>
      <c r="N97" s="283">
        <f>+insumos!$H$121</f>
        <v>0.0445</v>
      </c>
      <c r="O97" s="285"/>
      <c r="Q97" s="26" t="s">
        <v>650</v>
      </c>
      <c r="R97" s="1" t="s">
        <v>651</v>
      </c>
      <c r="S97" s="283">
        <f>insumos!$H$75*5</f>
        <v>0.9750000000000001</v>
      </c>
      <c r="T97" s="1" t="s">
        <v>652</v>
      </c>
      <c r="V97" s="281"/>
      <c r="W97" s="282" t="s">
        <v>587</v>
      </c>
      <c r="X97" s="304">
        <f>146362.59/5379</f>
        <v>27.21</v>
      </c>
      <c r="Y97" s="245"/>
      <c r="AA97" s="281">
        <v>3636</v>
      </c>
      <c r="AB97" s="282" t="s">
        <v>550</v>
      </c>
      <c r="AC97" s="283">
        <f>+insumos!$H$121</f>
        <v>0.0445</v>
      </c>
      <c r="AD97" s="245"/>
      <c r="AK97" s="281">
        <v>3636</v>
      </c>
      <c r="AL97" s="282" t="s">
        <v>550</v>
      </c>
      <c r="AM97" s="283">
        <f>+insumos!$H$121</f>
        <v>0.0445</v>
      </c>
      <c r="AN97" s="245"/>
      <c r="AZ97" s="281">
        <v>6254</v>
      </c>
      <c r="BA97" s="30" t="s">
        <v>600</v>
      </c>
      <c r="BB97" s="283">
        <f>+insumos!$I$208*12</f>
        <v>0.5334893983701396</v>
      </c>
      <c r="BC97" s="300" t="s">
        <v>568</v>
      </c>
      <c r="BD97" s="291"/>
      <c r="BE97" s="281">
        <v>6254</v>
      </c>
      <c r="BF97" s="30" t="s">
        <v>600</v>
      </c>
      <c r="BG97" s="283">
        <f>+insumos!$I$208*16</f>
        <v>0.7113191978268528</v>
      </c>
      <c r="BH97" s="300" t="s">
        <v>580</v>
      </c>
      <c r="BY97" s="281">
        <v>6208</v>
      </c>
      <c r="BZ97" s="282" t="s">
        <v>573</v>
      </c>
      <c r="CA97" s="283">
        <f>insumos!$H$188*12</f>
        <v>1.0929882352941176</v>
      </c>
      <c r="CB97" s="300" t="s">
        <v>568</v>
      </c>
      <c r="CD97" s="26" t="s">
        <v>606</v>
      </c>
      <c r="CE97" s="30" t="s">
        <v>607</v>
      </c>
      <c r="CF97" s="283">
        <f>insumos!$H$197*9</f>
        <v>1.3087058823529412</v>
      </c>
      <c r="CG97" s="296" t="s">
        <v>579</v>
      </c>
      <c r="CI97" s="281">
        <v>6254</v>
      </c>
      <c r="CJ97" s="30" t="s">
        <v>600</v>
      </c>
      <c r="CK97" s="283">
        <f>+insumos!$I$208*12</f>
        <v>0.5334893983701396</v>
      </c>
      <c r="CL97" s="300" t="s">
        <v>568</v>
      </c>
      <c r="CN97" s="281">
        <v>5868</v>
      </c>
      <c r="CO97" s="30" t="s">
        <v>605</v>
      </c>
      <c r="CP97" s="283">
        <f>insumos!$I$243*12</f>
        <v>0.22752</v>
      </c>
      <c r="CQ97" s="300" t="s">
        <v>568</v>
      </c>
      <c r="CS97" s="311"/>
      <c r="CT97" s="307" t="s">
        <v>604</v>
      </c>
      <c r="CU97" s="308">
        <f>CU96*1.03</f>
        <v>0.3175388201483381</v>
      </c>
      <c r="CV97" s="245"/>
      <c r="DM97" s="281"/>
      <c r="DN97" s="307" t="s">
        <v>599</v>
      </c>
      <c r="DO97" s="308">
        <f>+DO95/DO96</f>
        <v>0.10677509090786927</v>
      </c>
      <c r="DP97" s="245"/>
      <c r="DQ97" s="245"/>
      <c r="DR97" s="245"/>
      <c r="DS97" s="245"/>
      <c r="DT97" s="245"/>
      <c r="DU97" s="245"/>
      <c r="DV97" s="245"/>
      <c r="DW97" s="245"/>
      <c r="DX97" s="245"/>
      <c r="DY97" s="245"/>
      <c r="DZ97" s="245"/>
      <c r="EA97" s="245"/>
      <c r="EB97" s="245"/>
    </row>
    <row r="98" spans="2:132" x14ac:dyDescent="0.25">
      <c r="B98" s="281">
        <v>6214</v>
      </c>
      <c r="C98" s="282" t="s">
        <v>573</v>
      </c>
      <c r="D98" s="283">
        <f>insumos!H167*8</f>
        <v>0.3394437035866646</v>
      </c>
      <c r="E98" s="300" t="s">
        <v>561</v>
      </c>
      <c r="F98" s="1"/>
      <c r="G98" s="292"/>
      <c r="H98" s="279" t="s">
        <v>553</v>
      </c>
      <c r="I98" s="293"/>
      <c r="J98" s="284"/>
      <c r="K98" s="285"/>
      <c r="L98" s="292"/>
      <c r="M98" s="280" t="s">
        <v>553</v>
      </c>
      <c r="N98" s="293"/>
      <c r="O98" s="285"/>
      <c r="Q98" s="26" t="s">
        <v>658</v>
      </c>
      <c r="R98" s="30" t="s">
        <v>659</v>
      </c>
      <c r="S98" s="283">
        <f>insumos!$H$135*5</f>
        <v>0.10250000000000001</v>
      </c>
      <c r="T98" s="1" t="s">
        <v>652</v>
      </c>
      <c r="V98" s="281"/>
      <c r="W98" s="307" t="s">
        <v>599</v>
      </c>
      <c r="X98" s="308">
        <f>+X96/X97</f>
        <v>0.05146379348487217</v>
      </c>
      <c r="Y98" s="245"/>
      <c r="AA98" s="292"/>
      <c r="AB98" s="279" t="s">
        <v>553</v>
      </c>
      <c r="AC98" s="293"/>
      <c r="AD98" s="245"/>
      <c r="AK98" s="292"/>
      <c r="AL98" s="279" t="s">
        <v>553</v>
      </c>
      <c r="AM98" s="293"/>
      <c r="AN98" s="245"/>
      <c r="AP98" s="263">
        <v>3673025</v>
      </c>
      <c r="AQ98" s="264" t="s">
        <v>754</v>
      </c>
      <c r="AR98" s="265"/>
      <c r="AS98" s="266"/>
      <c r="AZ98" s="26" t="s">
        <v>606</v>
      </c>
      <c r="BA98" s="30" t="s">
        <v>607</v>
      </c>
      <c r="BB98" s="283">
        <f>insumos!$H$197*12</f>
        <v>1.7449411764705882</v>
      </c>
      <c r="BC98" s="300" t="s">
        <v>568</v>
      </c>
      <c r="BD98" s="291"/>
      <c r="BE98" s="26" t="s">
        <v>608</v>
      </c>
      <c r="BF98" s="30" t="s">
        <v>609</v>
      </c>
      <c r="BG98" s="283">
        <f>insumos!$H$176*16</f>
        <v>0.864</v>
      </c>
      <c r="BH98" s="300" t="s">
        <v>580</v>
      </c>
      <c r="BY98" s="281">
        <v>5202</v>
      </c>
      <c r="BZ98" s="282" t="s">
        <v>586</v>
      </c>
      <c r="CA98" s="283">
        <f>insumos!$H$114*12</f>
        <v>0.3161371428571429</v>
      </c>
      <c r="CB98" s="300" t="s">
        <v>568</v>
      </c>
      <c r="CD98" s="297"/>
      <c r="CE98" s="298" t="s">
        <v>5</v>
      </c>
      <c r="CF98" s="299">
        <f>SUM(CF86:CF97)</f>
        <v>4.779516507406019</v>
      </c>
      <c r="CG98" s="300"/>
      <c r="CI98" s="26" t="s">
        <v>675</v>
      </c>
      <c r="CJ98" s="30" t="s">
        <v>676</v>
      </c>
      <c r="CK98" s="283">
        <f>insumos!$H$194*12</f>
        <v>2.4000000000000004</v>
      </c>
      <c r="CL98" s="300" t="s">
        <v>568</v>
      </c>
      <c r="CN98" s="297"/>
      <c r="CO98" s="298" t="s">
        <v>5</v>
      </c>
      <c r="CP98" s="299">
        <f>SUM(CP85:CP97)</f>
        <v>5.1987398366878255</v>
      </c>
      <c r="CQ98" s="245"/>
      <c r="DM98" s="311"/>
      <c r="DN98" s="307" t="s">
        <v>604</v>
      </c>
      <c r="DO98" s="308">
        <f>DO97*1.03</f>
        <v>0.10997834363510535</v>
      </c>
      <c r="DP98" s="245"/>
      <c r="DQ98" s="245"/>
      <c r="DR98" s="245"/>
      <c r="DS98" s="245"/>
      <c r="DT98" s="245"/>
      <c r="DU98" s="245"/>
      <c r="DV98" s="245"/>
      <c r="DW98" s="245"/>
      <c r="DX98" s="245"/>
      <c r="DY98" s="245"/>
      <c r="DZ98" s="245"/>
      <c r="EA98" s="245"/>
      <c r="EB98" s="245"/>
    </row>
    <row r="99" spans="2:129" x14ac:dyDescent="0.25">
      <c r="B99" s="281">
        <v>5202</v>
      </c>
      <c r="C99" s="282" t="s">
        <v>586</v>
      </c>
      <c r="D99" s="283">
        <f>insumos!$H$114*8</f>
        <v>0.21075809523809524</v>
      </c>
      <c r="E99" s="300" t="s">
        <v>561</v>
      </c>
      <c r="F99" s="245"/>
      <c r="G99" s="26" t="s">
        <v>655</v>
      </c>
      <c r="H99" s="1" t="s">
        <v>656</v>
      </c>
      <c r="I99" s="283">
        <f>insumos!H56*13</f>
        <v>2.4959999999999996</v>
      </c>
      <c r="J99" s="300" t="s">
        <v>755</v>
      </c>
      <c r="K99" s="291"/>
      <c r="L99" s="319"/>
      <c r="M99" s="320" t="s">
        <v>718</v>
      </c>
      <c r="N99" s="321"/>
      <c r="O99" s="291"/>
      <c r="Q99" s="297"/>
      <c r="R99" s="298" t="s">
        <v>5</v>
      </c>
      <c r="S99" s="299">
        <f>SUM(S90:S98)</f>
        <v>2.449889089826014</v>
      </c>
      <c r="T99" s="245"/>
      <c r="V99" s="311"/>
      <c r="W99" s="307" t="s">
        <v>604</v>
      </c>
      <c r="X99" s="308">
        <f>X98*1.03</f>
        <v>0.05300770728941834</v>
      </c>
      <c r="Y99" s="245"/>
      <c r="AA99" s="322"/>
      <c r="AB99" s="323" t="s">
        <v>756</v>
      </c>
      <c r="AC99" s="324"/>
      <c r="AD99" s="1" t="s">
        <v>662</v>
      </c>
      <c r="AK99" s="26" t="s">
        <v>566</v>
      </c>
      <c r="AL99" s="30" t="s">
        <v>567</v>
      </c>
      <c r="AM99" s="283">
        <f>insumos!$H$113*16</f>
        <v>0.4321512617947432</v>
      </c>
      <c r="AN99" s="1" t="s">
        <v>580</v>
      </c>
      <c r="AP99" s="275" t="s">
        <v>492</v>
      </c>
      <c r="AQ99" s="277" t="s">
        <v>495</v>
      </c>
      <c r="AR99" s="275" t="s">
        <v>467</v>
      </c>
      <c r="AS99" s="245"/>
      <c r="AZ99" s="297"/>
      <c r="BA99" s="298" t="s">
        <v>5</v>
      </c>
      <c r="BB99" s="299">
        <f>SUM(BB87:BB98)</f>
        <v>5.5666028663127305</v>
      </c>
      <c r="BC99" s="300"/>
      <c r="BD99" s="291"/>
      <c r="BE99" s="297"/>
      <c r="BF99" s="298" t="s">
        <v>5</v>
      </c>
      <c r="BG99" s="299">
        <f>SUM(BG87:BG98)</f>
        <v>5.474887240605258</v>
      </c>
      <c r="BH99" s="300"/>
      <c r="BY99" s="281">
        <v>6229</v>
      </c>
      <c r="BZ99" s="30" t="s">
        <v>588</v>
      </c>
      <c r="CA99" s="283">
        <f>insumos!$I$265*12</f>
        <v>0.25825519982429496</v>
      </c>
      <c r="CB99" s="300" t="s">
        <v>568</v>
      </c>
      <c r="CD99" s="281"/>
      <c r="CE99" s="282" t="s">
        <v>587</v>
      </c>
      <c r="CF99" s="304">
        <v>6.69</v>
      </c>
      <c r="CG99" s="269"/>
      <c r="CI99" s="297"/>
      <c r="CJ99" s="298" t="s">
        <v>5</v>
      </c>
      <c r="CK99" s="299">
        <f>SUM(CK87:CK98)</f>
        <v>6.633052206150585</v>
      </c>
      <c r="CN99" s="281"/>
      <c r="CO99" s="282" t="s">
        <v>587</v>
      </c>
      <c r="CP99" s="304">
        <f>1962.87/138</f>
        <v>14.223695652173912</v>
      </c>
      <c r="CQ99" s="269"/>
      <c r="CS99" s="263">
        <v>6172072</v>
      </c>
      <c r="CT99" s="264" t="s">
        <v>757</v>
      </c>
      <c r="CU99" s="267"/>
      <c r="CV99" s="245"/>
      <c r="DW99" s="245"/>
      <c r="DX99" s="245"/>
      <c r="DY99" s="245"/>
    </row>
    <row r="100" spans="2:129" x14ac:dyDescent="0.25">
      <c r="B100" s="281">
        <v>6229</v>
      </c>
      <c r="C100" s="30" t="s">
        <v>588</v>
      </c>
      <c r="D100" s="283">
        <f>insumos!$I$265*8</f>
        <v>0.17217013321619665</v>
      </c>
      <c r="E100" s="300" t="s">
        <v>561</v>
      </c>
      <c r="F100" s="245"/>
      <c r="G100" s="26" t="s">
        <v>566</v>
      </c>
      <c r="H100" s="30" t="s">
        <v>567</v>
      </c>
      <c r="I100" s="283">
        <f>insumos!$H$113*13</f>
        <v>0.3511229002082289</v>
      </c>
      <c r="J100" s="300" t="s">
        <v>755</v>
      </c>
      <c r="K100" s="291"/>
      <c r="L100" s="26" t="s">
        <v>566</v>
      </c>
      <c r="M100" s="30" t="s">
        <v>567</v>
      </c>
      <c r="N100" s="283">
        <f>insumos!$H$113*17</f>
        <v>0.4591607156569147</v>
      </c>
      <c r="O100" s="291" t="s">
        <v>758</v>
      </c>
      <c r="Q100" s="281"/>
      <c r="R100" s="282" t="s">
        <v>587</v>
      </c>
      <c r="S100" s="304">
        <f>1683.06/85</f>
        <v>19.80070588235294</v>
      </c>
      <c r="T100" s="245"/>
      <c r="AA100" s="26" t="s">
        <v>574</v>
      </c>
      <c r="AB100" s="30" t="s">
        <v>575</v>
      </c>
      <c r="AC100" s="283">
        <f>insumos!$H$120*6</f>
        <v>0.1194</v>
      </c>
      <c r="AD100" s="1" t="s">
        <v>662</v>
      </c>
      <c r="AK100" s="26" t="s">
        <v>596</v>
      </c>
      <c r="AL100" s="30" t="s">
        <v>742</v>
      </c>
      <c r="AM100" s="283">
        <f>insumos!$H$53*16</f>
        <v>2.4960000000000004</v>
      </c>
      <c r="AN100" s="1" t="s">
        <v>580</v>
      </c>
      <c r="AP100" s="278"/>
      <c r="AQ100" s="280" t="s">
        <v>134</v>
      </c>
      <c r="AR100" s="278"/>
      <c r="AS100" s="245"/>
      <c r="AZ100" s="281"/>
      <c r="BA100" s="282" t="s">
        <v>587</v>
      </c>
      <c r="BB100" s="304">
        <f>1225.36/236</f>
        <v>5.192203389830508</v>
      </c>
      <c r="BC100" s="269"/>
      <c r="BD100" s="245"/>
      <c r="BE100" s="281"/>
      <c r="BF100" s="282" t="s">
        <v>587</v>
      </c>
      <c r="BG100" s="304">
        <f>856.46/108</f>
        <v>7.930185185185185</v>
      </c>
      <c r="BH100" s="269"/>
      <c r="BY100" s="281">
        <v>6254</v>
      </c>
      <c r="BZ100" s="30" t="s">
        <v>600</v>
      </c>
      <c r="CA100" s="283">
        <f>+insumos!$I$208*12</f>
        <v>0.5334893983701396</v>
      </c>
      <c r="CB100" s="300" t="s">
        <v>568</v>
      </c>
      <c r="CD100" s="281"/>
      <c r="CE100" s="307" t="s">
        <v>599</v>
      </c>
      <c r="CF100" s="308">
        <f>+CF98/CF99</f>
        <v>0.7144269816750402</v>
      </c>
      <c r="CG100" s="269"/>
      <c r="CI100" s="281"/>
      <c r="CJ100" s="282" t="s">
        <v>587</v>
      </c>
      <c r="CK100" s="304">
        <f>904.53/182</f>
        <v>4.969945054945055</v>
      </c>
      <c r="CL100" s="245"/>
      <c r="CN100" s="281"/>
      <c r="CO100" s="307" t="s">
        <v>599</v>
      </c>
      <c r="CP100" s="308">
        <f>+CP98/CP99</f>
        <v>0.36549852892087603</v>
      </c>
      <c r="CQ100" s="269"/>
      <c r="CS100" s="275" t="s">
        <v>492</v>
      </c>
      <c r="CT100" s="276" t="s">
        <v>495</v>
      </c>
      <c r="CU100" s="275" t="s">
        <v>467</v>
      </c>
      <c r="CV100" s="245"/>
      <c r="DW100" s="245"/>
      <c r="DX100" s="245"/>
      <c r="DY100" s="245"/>
    </row>
    <row r="101" spans="2:100" x14ac:dyDescent="0.25">
      <c r="B101" s="281">
        <v>6254</v>
      </c>
      <c r="C101" s="30" t="s">
        <v>600</v>
      </c>
      <c r="D101" s="283">
        <f>+insumos!$I$208*8</f>
        <v>0.3556595989134264</v>
      </c>
      <c r="E101" s="300" t="s">
        <v>561</v>
      </c>
      <c r="F101" s="296"/>
      <c r="G101" s="297"/>
      <c r="H101" s="298" t="s">
        <v>5</v>
      </c>
      <c r="I101" s="299">
        <f>SUM(I92:I100)</f>
        <v>5.047473123811352</v>
      </c>
      <c r="J101" s="269"/>
      <c r="K101" s="245"/>
      <c r="L101" s="297"/>
      <c r="M101" s="303" t="s">
        <v>5</v>
      </c>
      <c r="N101" s="299">
        <f>SUM(N92:N100)</f>
        <v>2.626549805482929</v>
      </c>
      <c r="O101" s="245"/>
      <c r="Q101" s="281"/>
      <c r="R101" s="307" t="s">
        <v>599</v>
      </c>
      <c r="S101" s="308">
        <f>+S99/S100</f>
        <v>0.12372736125581453</v>
      </c>
      <c r="T101" s="245"/>
      <c r="V101" s="263">
        <v>993590</v>
      </c>
      <c r="W101" s="264" t="s">
        <v>759</v>
      </c>
      <c r="X101" s="267"/>
      <c r="Y101" s="245"/>
      <c r="AA101" s="297"/>
      <c r="AB101" s="298" t="s">
        <v>5</v>
      </c>
      <c r="AC101" s="299">
        <f>SUM(AC92:AC100)</f>
        <v>1.4917890898260135</v>
      </c>
      <c r="AD101" s="245"/>
      <c r="AK101" s="297"/>
      <c r="AL101" s="298" t="s">
        <v>5</v>
      </c>
      <c r="AM101" s="299">
        <f>SUM(AM92:AM100)</f>
        <v>4.833501485397867</v>
      </c>
      <c r="AN101" s="245"/>
      <c r="AP101" s="281">
        <v>3741</v>
      </c>
      <c r="AQ101" s="282" t="s">
        <v>500</v>
      </c>
      <c r="AR101" s="283">
        <f>insumos!$G$213</f>
        <v>0.8355871886120997</v>
      </c>
      <c r="AS101" s="284"/>
      <c r="AZ101" s="281"/>
      <c r="BA101" s="307" t="s">
        <v>599</v>
      </c>
      <c r="BB101" s="308">
        <f>+BB99/BB100</f>
        <v>1.0721080143384838</v>
      </c>
      <c r="BC101" s="269"/>
      <c r="BD101" s="245"/>
      <c r="BE101" s="281"/>
      <c r="BF101" s="307" t="s">
        <v>599</v>
      </c>
      <c r="BG101" s="308">
        <f>+BG99/BG100</f>
        <v>0.6903857996699996</v>
      </c>
      <c r="BH101" s="269"/>
      <c r="BY101" s="281">
        <v>5868</v>
      </c>
      <c r="BZ101" s="30" t="s">
        <v>605</v>
      </c>
      <c r="CA101" s="283">
        <f>insumos!$I$243*12</f>
        <v>0.22752</v>
      </c>
      <c r="CB101" s="300" t="s">
        <v>568</v>
      </c>
      <c r="CD101" s="311"/>
      <c r="CE101" s="307" t="s">
        <v>604</v>
      </c>
      <c r="CF101" s="308">
        <f>CF100*1.03</f>
        <v>0.7358597911252914</v>
      </c>
      <c r="CG101" s="269"/>
      <c r="CI101" s="281"/>
      <c r="CJ101" s="307" t="s">
        <v>599</v>
      </c>
      <c r="CK101" s="308">
        <f>+CK99/CK100</f>
        <v>1.3346329049555088</v>
      </c>
      <c r="CL101" s="269"/>
      <c r="CN101" s="311"/>
      <c r="CO101" s="307" t="s">
        <v>604</v>
      </c>
      <c r="CP101" s="308">
        <f>CP100*1.03</f>
        <v>0.37646348478850233</v>
      </c>
      <c r="CQ101" s="245"/>
      <c r="CS101" s="278"/>
      <c r="CT101" s="279" t="s">
        <v>134</v>
      </c>
      <c r="CU101" s="278"/>
      <c r="CV101" s="245"/>
    </row>
    <row r="102" spans="2:100" x14ac:dyDescent="0.25">
      <c r="B102" s="281">
        <v>5868</v>
      </c>
      <c r="C102" s="30" t="s">
        <v>605</v>
      </c>
      <c r="D102" s="283">
        <f>insumos!$I$243*8</f>
        <v>0.15168</v>
      </c>
      <c r="E102" s="300" t="s">
        <v>561</v>
      </c>
      <c r="F102" s="296"/>
      <c r="G102" s="281"/>
      <c r="H102" s="282" t="s">
        <v>587</v>
      </c>
      <c r="I102" s="281">
        <v>20.4</v>
      </c>
      <c r="J102" s="269"/>
      <c r="K102" s="245"/>
      <c r="L102" s="281"/>
      <c r="M102" s="286" t="s">
        <v>587</v>
      </c>
      <c r="N102" s="325">
        <f>108105.57/6092</f>
        <v>17.745497373604728</v>
      </c>
      <c r="O102" s="245"/>
      <c r="Q102" s="311"/>
      <c r="R102" s="307" t="s">
        <v>604</v>
      </c>
      <c r="S102" s="308">
        <f>S101*1.03</f>
        <v>0.12743918209348898</v>
      </c>
      <c r="V102" s="275" t="s">
        <v>492</v>
      </c>
      <c r="W102" s="276" t="s">
        <v>495</v>
      </c>
      <c r="X102" s="275" t="s">
        <v>467</v>
      </c>
      <c r="Y102" s="245"/>
      <c r="AA102" s="281"/>
      <c r="AB102" s="282" t="s">
        <v>587</v>
      </c>
      <c r="AC102" s="304">
        <f>1214.52/63</f>
        <v>19.278095238095236</v>
      </c>
      <c r="AD102" s="245"/>
      <c r="AK102" s="281"/>
      <c r="AL102" s="282" t="s">
        <v>587</v>
      </c>
      <c r="AM102" s="304">
        <f>18646.96/1014</f>
        <v>18.389506903353055</v>
      </c>
      <c r="AN102" s="245"/>
      <c r="AP102" s="281">
        <v>3759</v>
      </c>
      <c r="AQ102" s="1" t="s">
        <v>507</v>
      </c>
      <c r="AR102" s="283">
        <f>+insumos!$G$284</f>
        <v>1.1352416613292604</v>
      </c>
      <c r="AS102" s="284"/>
      <c r="AZ102" s="311"/>
      <c r="BA102" s="307" t="s">
        <v>604</v>
      </c>
      <c r="BB102" s="308">
        <f>BB101*1.03</f>
        <v>1.1042712547686384</v>
      </c>
      <c r="BC102" s="269"/>
      <c r="BD102" s="245"/>
      <c r="BE102" s="311"/>
      <c r="BF102" s="307" t="s">
        <v>604</v>
      </c>
      <c r="BG102" s="308">
        <f>BG101*1.03</f>
        <v>0.7110973736600996</v>
      </c>
      <c r="BH102" s="269"/>
      <c r="BY102" s="297"/>
      <c r="BZ102" s="298" t="s">
        <v>5</v>
      </c>
      <c r="CA102" s="299">
        <f>SUM(CA89:CA101)</f>
        <v>5.1987398366878255</v>
      </c>
      <c r="CB102" s="245"/>
      <c r="CI102" s="311"/>
      <c r="CJ102" s="307" t="s">
        <v>604</v>
      </c>
      <c r="CK102" s="308">
        <f>CK101*1.03</f>
        <v>1.374671892104174</v>
      </c>
      <c r="CL102" s="269"/>
      <c r="CS102" s="281">
        <v>3741</v>
      </c>
      <c r="CT102" s="1" t="s">
        <v>504</v>
      </c>
      <c r="CU102" s="283">
        <f>insumos!$G$213</f>
        <v>0.8355871886120997</v>
      </c>
      <c r="CV102" s="245"/>
    </row>
    <row r="103" spans="2:100" x14ac:dyDescent="0.25">
      <c r="B103" s="297"/>
      <c r="C103" s="298" t="s">
        <v>5</v>
      </c>
      <c r="D103" s="299">
        <f>SUM(D90:D102)</f>
        <v>3.8821473538937354</v>
      </c>
      <c r="E103" s="269"/>
      <c r="F103" s="296"/>
      <c r="G103" s="281"/>
      <c r="H103" s="307" t="s">
        <v>599</v>
      </c>
      <c r="I103" s="308">
        <f>+I101/I102</f>
        <v>0.24742515312800747</v>
      </c>
      <c r="J103" s="269"/>
      <c r="K103" s="245"/>
      <c r="L103" s="281"/>
      <c r="M103" s="310" t="s">
        <v>599</v>
      </c>
      <c r="N103" s="308">
        <f>+N101/N102</f>
        <v>0.14801218304479596</v>
      </c>
      <c r="O103" s="245"/>
      <c r="T103" s="245"/>
      <c r="V103" s="278"/>
      <c r="W103" s="279" t="s">
        <v>134</v>
      </c>
      <c r="X103" s="278"/>
      <c r="Y103" s="245"/>
      <c r="AA103" s="281"/>
      <c r="AB103" s="307" t="s">
        <v>599</v>
      </c>
      <c r="AC103" s="308">
        <f>+AC101/AC102</f>
        <v>0.0773825977826951</v>
      </c>
      <c r="AD103" s="245"/>
      <c r="AK103" s="281"/>
      <c r="AL103" s="307" t="s">
        <v>599</v>
      </c>
      <c r="AM103" s="308">
        <f>+AM101/AM102</f>
        <v>0.26284018983219987</v>
      </c>
      <c r="AN103" s="245"/>
      <c r="AP103" s="281">
        <v>4541</v>
      </c>
      <c r="AQ103" s="282" t="s">
        <v>528</v>
      </c>
      <c r="AR103" s="283">
        <f>insumos!$H$43</f>
        <v>0.022058823529411766</v>
      </c>
      <c r="AS103" s="284"/>
      <c r="BY103" s="281"/>
      <c r="BZ103" s="282" t="s">
        <v>587</v>
      </c>
      <c r="CA103" s="304">
        <v>11.13</v>
      </c>
      <c r="CB103" s="269"/>
      <c r="CD103" s="263">
        <v>4545816</v>
      </c>
      <c r="CE103" s="264" t="s">
        <v>760</v>
      </c>
      <c r="CF103" s="267"/>
      <c r="CG103" s="269"/>
      <c r="CN103" s="259">
        <v>4865199</v>
      </c>
      <c r="CO103" s="260" t="s">
        <v>761</v>
      </c>
      <c r="CP103" s="259"/>
      <c r="CQ103" s="272"/>
      <c r="CS103" s="281">
        <v>3759</v>
      </c>
      <c r="CT103" s="30" t="s">
        <v>507</v>
      </c>
      <c r="CU103" s="283">
        <f>+insumos!$G$284</f>
        <v>1.1352416613292604</v>
      </c>
      <c r="CV103" s="245"/>
    </row>
    <row r="104" spans="2:100" x14ac:dyDescent="0.25">
      <c r="B104" s="281"/>
      <c r="C104" s="282" t="s">
        <v>587</v>
      </c>
      <c r="D104" s="281">
        <v>8</v>
      </c>
      <c r="E104" s="269"/>
      <c r="F104" s="296"/>
      <c r="G104" s="311"/>
      <c r="H104" s="307" t="s">
        <v>604</v>
      </c>
      <c r="I104" s="308">
        <f>I103*1.03</f>
        <v>0.25484790772184773</v>
      </c>
      <c r="J104" s="269"/>
      <c r="K104" s="245"/>
      <c r="L104" s="311"/>
      <c r="M104" s="310" t="s">
        <v>604</v>
      </c>
      <c r="N104" s="308">
        <f>N103*1.03</f>
        <v>0.15245254853613985</v>
      </c>
      <c r="O104" s="245"/>
      <c r="Q104" s="263">
        <v>998022</v>
      </c>
      <c r="R104" s="264" t="s">
        <v>762</v>
      </c>
      <c r="S104" s="267"/>
      <c r="T104" s="245"/>
      <c r="V104" s="281">
        <v>6184</v>
      </c>
      <c r="W104" s="1" t="s">
        <v>502</v>
      </c>
      <c r="X104" s="283">
        <f>insumos!$H$215</f>
        <v>0.6</v>
      </c>
      <c r="Y104" s="245"/>
      <c r="AA104" s="311"/>
      <c r="AB104" s="307" t="s">
        <v>604</v>
      </c>
      <c r="AC104" s="308">
        <f>AC103*1.03</f>
        <v>0.07970407571617595</v>
      </c>
      <c r="AD104" s="245"/>
      <c r="AK104" s="311"/>
      <c r="AL104" s="307" t="s">
        <v>604</v>
      </c>
      <c r="AM104" s="308">
        <f>AM103*1.03</f>
        <v>0.27072539552716585</v>
      </c>
      <c r="AN104" s="245"/>
      <c r="AP104" s="26">
        <v>3817</v>
      </c>
      <c r="AQ104" s="243" t="s">
        <v>524</v>
      </c>
      <c r="AR104" s="289">
        <f>insumos!$I$103*1.8</f>
        <v>0.02088</v>
      </c>
      <c r="AS104" s="290" t="s">
        <v>537</v>
      </c>
      <c r="AZ104" s="263">
        <v>441032</v>
      </c>
      <c r="BA104" s="264" t="s">
        <v>763</v>
      </c>
      <c r="BB104" s="267"/>
      <c r="BC104" s="269"/>
      <c r="BE104" s="263">
        <v>443060</v>
      </c>
      <c r="BF104" s="264" t="s">
        <v>764</v>
      </c>
      <c r="BG104" s="267"/>
      <c r="BH104" s="269"/>
      <c r="BY104" s="281"/>
      <c r="BZ104" s="307" t="s">
        <v>599</v>
      </c>
      <c r="CA104" s="308">
        <f>+CA102/CA103</f>
        <v>0.46709252800429696</v>
      </c>
      <c r="CB104" s="269"/>
      <c r="CD104" s="275" t="s">
        <v>492</v>
      </c>
      <c r="CE104" s="276" t="s">
        <v>495</v>
      </c>
      <c r="CF104" s="275" t="s">
        <v>467</v>
      </c>
      <c r="CG104" s="269"/>
      <c r="CI104" s="263">
        <v>4546132</v>
      </c>
      <c r="CJ104" s="264" t="s">
        <v>765</v>
      </c>
      <c r="CK104" s="267"/>
      <c r="CL104" s="269"/>
      <c r="CN104" s="275" t="s">
        <v>492</v>
      </c>
      <c r="CO104" s="276" t="s">
        <v>495</v>
      </c>
      <c r="CP104" s="275" t="s">
        <v>467</v>
      </c>
      <c r="CQ104" s="245"/>
      <c r="CS104" s="281">
        <v>4541</v>
      </c>
      <c r="CT104" s="282" t="s">
        <v>529</v>
      </c>
      <c r="CU104" s="283">
        <f>insumos!$H$43</f>
        <v>0.022058823529411766</v>
      </c>
      <c r="CV104" s="245"/>
    </row>
    <row r="105" spans="2:100" x14ac:dyDescent="0.25">
      <c r="B105" s="281"/>
      <c r="C105" s="307" t="s">
        <v>599</v>
      </c>
      <c r="D105" s="308">
        <f>+D103/D104</f>
        <v>0.48526841923671693</v>
      </c>
      <c r="E105" s="269"/>
      <c r="F105" s="245"/>
      <c r="L105" s="245"/>
      <c r="M105" s="245"/>
      <c r="N105" s="245"/>
      <c r="O105" s="245"/>
      <c r="Q105" s="275" t="s">
        <v>492</v>
      </c>
      <c r="R105" s="276" t="s">
        <v>495</v>
      </c>
      <c r="S105" s="275" t="s">
        <v>467</v>
      </c>
      <c r="T105" s="245"/>
      <c r="V105" s="281">
        <v>2037</v>
      </c>
      <c r="W105" s="282" t="s">
        <v>511</v>
      </c>
      <c r="X105" s="283">
        <f>+insumos!$H$268</f>
        <v>0.65</v>
      </c>
      <c r="Y105" s="245"/>
      <c r="AP105" s="26">
        <v>2173</v>
      </c>
      <c r="AQ105" s="243" t="s">
        <v>536</v>
      </c>
      <c r="AR105" s="289">
        <f>+insumos!$H$149*2</f>
        <v>0.0349502662966019</v>
      </c>
      <c r="AS105" s="291" t="s">
        <v>547</v>
      </c>
      <c r="AZ105" s="275" t="s">
        <v>492</v>
      </c>
      <c r="BA105" s="276" t="s">
        <v>495</v>
      </c>
      <c r="BB105" s="275" t="s">
        <v>467</v>
      </c>
      <c r="BC105" s="269"/>
      <c r="BE105" s="275" t="s">
        <v>492</v>
      </c>
      <c r="BF105" s="276" t="s">
        <v>495</v>
      </c>
      <c r="BG105" s="275" t="s">
        <v>467</v>
      </c>
      <c r="BH105" s="269"/>
      <c r="BY105" s="311"/>
      <c r="BZ105" s="307" t="s">
        <v>604</v>
      </c>
      <c r="CA105" s="308">
        <f>CA104*1.03</f>
        <v>0.4811053038444259</v>
      </c>
      <c r="CB105" s="245"/>
      <c r="CD105" s="278"/>
      <c r="CE105" s="279" t="s">
        <v>134</v>
      </c>
      <c r="CF105" s="278"/>
      <c r="CG105" s="269"/>
      <c r="CI105" s="275" t="s">
        <v>492</v>
      </c>
      <c r="CJ105" s="276" t="s">
        <v>495</v>
      </c>
      <c r="CK105" s="275" t="s">
        <v>467</v>
      </c>
      <c r="CL105" s="269"/>
      <c r="CN105" s="278"/>
      <c r="CO105" s="279" t="s">
        <v>134</v>
      </c>
      <c r="CP105" s="278"/>
      <c r="CQ105" s="245"/>
      <c r="CS105" s="26">
        <v>3817</v>
      </c>
      <c r="CT105" s="243" t="s">
        <v>524</v>
      </c>
      <c r="CU105" s="289">
        <f>insumos!$I$103*1.8</f>
        <v>0.02088</v>
      </c>
      <c r="CV105" s="285" t="s">
        <v>538</v>
      </c>
    </row>
    <row r="106" spans="2:100" x14ac:dyDescent="0.25">
      <c r="B106" s="311"/>
      <c r="C106" s="307" t="s">
        <v>604</v>
      </c>
      <c r="D106" s="308">
        <f>D105*1.03</f>
        <v>0.49982647181381845</v>
      </c>
      <c r="E106" s="269"/>
      <c r="F106" s="245"/>
      <c r="G106" s="263">
        <v>437060</v>
      </c>
      <c r="H106" s="264" t="s">
        <v>766</v>
      </c>
      <c r="I106" s="267">
        <v>520</v>
      </c>
      <c r="J106" s="272">
        <f>I106/E2</f>
        <v>12.91604570293095</v>
      </c>
      <c r="K106" s="245"/>
      <c r="L106" s="263">
        <v>436129</v>
      </c>
      <c r="M106" s="264" t="s">
        <v>767</v>
      </c>
      <c r="N106" s="265">
        <v>480</v>
      </c>
      <c r="O106" s="266">
        <f>N106/E2</f>
        <v>11.922503725782414</v>
      </c>
      <c r="Q106" s="278"/>
      <c r="R106" s="279" t="s">
        <v>134</v>
      </c>
      <c r="S106" s="278"/>
      <c r="T106" s="245"/>
      <c r="V106" s="26" t="s">
        <v>533</v>
      </c>
      <c r="W106" s="30" t="s">
        <v>534</v>
      </c>
      <c r="X106" s="283">
        <f>insumos!$I$33</f>
        <v>0.049999554426770045</v>
      </c>
      <c r="Y106" s="287"/>
      <c r="AA106" s="263">
        <v>991039</v>
      </c>
      <c r="AB106" s="264" t="s">
        <v>768</v>
      </c>
      <c r="AC106" s="267"/>
      <c r="AD106" s="245"/>
      <c r="AK106" s="263">
        <v>1987160</v>
      </c>
      <c r="AL106" s="264" t="s">
        <v>769</v>
      </c>
      <c r="AM106" s="267"/>
      <c r="AN106" s="245"/>
      <c r="AP106" s="281">
        <v>3636</v>
      </c>
      <c r="AQ106" s="282" t="s">
        <v>550</v>
      </c>
      <c r="AR106" s="283">
        <f>+insumos!$H$121</f>
        <v>0.0445</v>
      </c>
      <c r="AS106" s="284"/>
      <c r="AZ106" s="278"/>
      <c r="BA106" s="279" t="s">
        <v>134</v>
      </c>
      <c r="BB106" s="278"/>
      <c r="BC106" s="269"/>
      <c r="BE106" s="278"/>
      <c r="BF106" s="279" t="s">
        <v>134</v>
      </c>
      <c r="BG106" s="278"/>
      <c r="BH106" s="269"/>
      <c r="CD106" s="281">
        <v>3741</v>
      </c>
      <c r="CE106" s="282" t="s">
        <v>500</v>
      </c>
      <c r="CF106" s="283">
        <f>insumos!$G$213</f>
        <v>0.8355871886120997</v>
      </c>
      <c r="CG106" s="284"/>
      <c r="CI106" s="278"/>
      <c r="CJ106" s="279" t="s">
        <v>134</v>
      </c>
      <c r="CK106" s="278"/>
      <c r="CL106" s="269"/>
      <c r="CN106" s="281">
        <v>3741</v>
      </c>
      <c r="CO106" s="282" t="s">
        <v>500</v>
      </c>
      <c r="CP106" s="31">
        <f>insumos!$G$213</f>
        <v>0.8355871886120997</v>
      </c>
      <c r="CQ106" s="245"/>
      <c r="CS106" s="26">
        <v>2173</v>
      </c>
      <c r="CT106" s="243" t="s">
        <v>536</v>
      </c>
      <c r="CU106" s="289">
        <f>+insumos!$H$149*2</f>
        <v>0.0349502662966019</v>
      </c>
      <c r="CV106" s="1" t="s">
        <v>547</v>
      </c>
    </row>
    <row r="107" spans="6:100" x14ac:dyDescent="0.25">
      <c r="F107" s="245"/>
      <c r="G107" s="275" t="s">
        <v>492</v>
      </c>
      <c r="H107" s="276" t="s">
        <v>495</v>
      </c>
      <c r="I107" s="275" t="s">
        <v>467</v>
      </c>
      <c r="J107" s="269"/>
      <c r="K107" s="245"/>
      <c r="L107" s="275" t="s">
        <v>492</v>
      </c>
      <c r="M107" s="277" t="s">
        <v>495</v>
      </c>
      <c r="N107" s="275" t="s">
        <v>467</v>
      </c>
      <c r="O107" s="245"/>
      <c r="Q107" s="281">
        <v>2055</v>
      </c>
      <c r="R107" s="1" t="s">
        <v>503</v>
      </c>
      <c r="S107" s="283">
        <f>insumos!$H$266</f>
        <v>1.1500000000000001</v>
      </c>
      <c r="T107" s="245"/>
      <c r="V107" s="26">
        <v>3817</v>
      </c>
      <c r="W107" s="243" t="s">
        <v>524</v>
      </c>
      <c r="X107" s="289">
        <f>insumos!$I$103*1.8</f>
        <v>0.02088</v>
      </c>
      <c r="Y107" s="285" t="s">
        <v>538</v>
      </c>
      <c r="AA107" s="275" t="s">
        <v>492</v>
      </c>
      <c r="AB107" s="276" t="s">
        <v>495</v>
      </c>
      <c r="AC107" s="275" t="s">
        <v>467</v>
      </c>
      <c r="AD107" s="245"/>
      <c r="AK107" s="275" t="s">
        <v>492</v>
      </c>
      <c r="AL107" s="276" t="s">
        <v>495</v>
      </c>
      <c r="AM107" s="275" t="s">
        <v>467</v>
      </c>
      <c r="AN107" s="245"/>
      <c r="AP107" s="292"/>
      <c r="AQ107" s="279" t="s">
        <v>553</v>
      </c>
      <c r="AR107" s="293"/>
      <c r="AS107" s="284"/>
      <c r="AZ107" s="281">
        <v>3741</v>
      </c>
      <c r="BA107" s="282" t="s">
        <v>500</v>
      </c>
      <c r="BB107" s="283">
        <f>insumos!$G$213</f>
        <v>0.8355871886120997</v>
      </c>
      <c r="BC107" s="284"/>
      <c r="BE107" s="281">
        <v>3741</v>
      </c>
      <c r="BF107" s="282" t="s">
        <v>500</v>
      </c>
      <c r="BG107" s="283">
        <f>insumos!$G$213</f>
        <v>0.8355871886120997</v>
      </c>
      <c r="BH107" s="284"/>
      <c r="BY107" s="263">
        <v>4543913</v>
      </c>
      <c r="BZ107" s="264" t="s">
        <v>770</v>
      </c>
      <c r="CA107" s="267"/>
      <c r="CB107" s="269"/>
      <c r="CD107" s="26" t="s">
        <v>515</v>
      </c>
      <c r="CE107" s="30" t="s">
        <v>516</v>
      </c>
      <c r="CF107" s="283">
        <f>+insumos!$G$283</f>
        <v>1.1</v>
      </c>
      <c r="CG107" s="284"/>
      <c r="CI107" s="281">
        <v>3741</v>
      </c>
      <c r="CJ107" s="282" t="s">
        <v>500</v>
      </c>
      <c r="CK107" s="31">
        <f>insumos!$G$213</f>
        <v>0.8355871886120997</v>
      </c>
      <c r="CL107" s="245"/>
      <c r="CN107" s="281">
        <v>3759</v>
      </c>
      <c r="CO107" s="1" t="s">
        <v>507</v>
      </c>
      <c r="CP107" s="31">
        <f>+insumos!$G$284</f>
        <v>1.1352416613292604</v>
      </c>
      <c r="CQ107" s="245"/>
      <c r="CS107" s="281">
        <v>3636</v>
      </c>
      <c r="CT107" s="282" t="s">
        <v>550</v>
      </c>
      <c r="CU107" s="283">
        <f>+insumos!$H$121</f>
        <v>0.0445</v>
      </c>
      <c r="CV107" s="245"/>
    </row>
    <row r="108" spans="2:100" x14ac:dyDescent="0.25">
      <c r="B108" s="263">
        <v>439028</v>
      </c>
      <c r="C108" s="264" t="s">
        <v>733</v>
      </c>
      <c r="D108" s="267">
        <v>395</v>
      </c>
      <c r="E108" s="272">
        <f>D108/E2</f>
        <v>9.811227024341779</v>
      </c>
      <c r="F108" s="245"/>
      <c r="G108" s="278"/>
      <c r="H108" s="279" t="s">
        <v>134</v>
      </c>
      <c r="I108" s="278"/>
      <c r="J108" s="269"/>
      <c r="K108" s="245"/>
      <c r="L108" s="278"/>
      <c r="M108" s="280" t="s">
        <v>134</v>
      </c>
      <c r="N108" s="278"/>
      <c r="O108" s="245"/>
      <c r="Q108" s="281">
        <v>5524</v>
      </c>
      <c r="R108" s="282" t="s">
        <v>512</v>
      </c>
      <c r="S108" s="283">
        <f>insumos!$H$217</f>
        <v>0.8950000000000001</v>
      </c>
      <c r="T108" s="245"/>
      <c r="V108" s="26">
        <v>2173</v>
      </c>
      <c r="W108" s="243" t="s">
        <v>536</v>
      </c>
      <c r="X108" s="289">
        <f>+insumos!$H$149*2</f>
        <v>0.0349502662966019</v>
      </c>
      <c r="Y108" s="1" t="s">
        <v>547</v>
      </c>
      <c r="AA108" s="278"/>
      <c r="AB108" s="279" t="s">
        <v>134</v>
      </c>
      <c r="AC108" s="278"/>
      <c r="AD108" s="245"/>
      <c r="AK108" s="278"/>
      <c r="AL108" s="279" t="s">
        <v>134</v>
      </c>
      <c r="AM108" s="278"/>
      <c r="AN108" s="245"/>
      <c r="AP108" s="26" t="s">
        <v>655</v>
      </c>
      <c r="AQ108" s="30" t="s">
        <v>656</v>
      </c>
      <c r="AR108" s="283">
        <f>insumos!$H$56*12</f>
        <v>2.304</v>
      </c>
      <c r="AS108" s="300" t="s">
        <v>753</v>
      </c>
      <c r="AZ108" s="26" t="s">
        <v>515</v>
      </c>
      <c r="BA108" s="30" t="s">
        <v>516</v>
      </c>
      <c r="BB108" s="283">
        <f>+insumos!$G$283</f>
        <v>1.1</v>
      </c>
      <c r="BC108" s="284"/>
      <c r="BE108" s="26" t="s">
        <v>517</v>
      </c>
      <c r="BF108" s="30" t="s">
        <v>518</v>
      </c>
      <c r="BG108" s="283">
        <f>+insumos!$H$263</f>
        <v>1.6</v>
      </c>
      <c r="BH108" s="284"/>
      <c r="BY108" s="275" t="s">
        <v>492</v>
      </c>
      <c r="BZ108" s="276" t="s">
        <v>495</v>
      </c>
      <c r="CA108" s="275" t="s">
        <v>467</v>
      </c>
      <c r="CB108" s="269"/>
      <c r="CD108" s="281">
        <v>4986</v>
      </c>
      <c r="CE108" s="30" t="s">
        <v>530</v>
      </c>
      <c r="CF108" s="283">
        <f>insumos!$H$255*3</f>
        <v>0.5699996367390061</v>
      </c>
      <c r="CG108" s="284" t="s">
        <v>526</v>
      </c>
      <c r="CI108" s="26" t="s">
        <v>521</v>
      </c>
      <c r="CJ108" s="30" t="s">
        <v>522</v>
      </c>
      <c r="CK108" s="31">
        <f>+insumos!$H$274</f>
        <v>1.6</v>
      </c>
      <c r="CL108" s="245"/>
      <c r="CN108" s="281">
        <v>4653</v>
      </c>
      <c r="CO108" s="282" t="s">
        <v>525</v>
      </c>
      <c r="CP108" s="283">
        <f>insumos!$H$254*3</f>
        <v>0.5592178831719787</v>
      </c>
      <c r="CQ108" s="284" t="s">
        <v>526</v>
      </c>
      <c r="CS108" s="292"/>
      <c r="CT108" s="279" t="s">
        <v>553</v>
      </c>
      <c r="CU108" s="293"/>
      <c r="CV108" s="245"/>
    </row>
    <row r="109" spans="2:100" x14ac:dyDescent="0.25">
      <c r="B109" s="275" t="s">
        <v>492</v>
      </c>
      <c r="C109" s="276" t="s">
        <v>495</v>
      </c>
      <c r="D109" s="275" t="s">
        <v>467</v>
      </c>
      <c r="E109" s="269"/>
      <c r="G109" s="281">
        <v>5524</v>
      </c>
      <c r="H109" s="1" t="s">
        <v>501</v>
      </c>
      <c r="I109" s="283">
        <f>insumos!$H$217</f>
        <v>0.8950000000000001</v>
      </c>
      <c r="J109" s="284"/>
      <c r="K109" s="285"/>
      <c r="L109" s="281">
        <v>5524</v>
      </c>
      <c r="M109" s="1" t="s">
        <v>501</v>
      </c>
      <c r="N109" s="283">
        <f>insumos!$H$217</f>
        <v>0.8950000000000001</v>
      </c>
      <c r="O109" s="285"/>
      <c r="Q109" s="281">
        <v>4542</v>
      </c>
      <c r="R109" s="282" t="s">
        <v>527</v>
      </c>
      <c r="S109" s="283">
        <f>insumos!$I$35</f>
        <v>0.022058823529411763</v>
      </c>
      <c r="V109" s="281">
        <v>3636</v>
      </c>
      <c r="W109" s="282" t="s">
        <v>550</v>
      </c>
      <c r="X109" s="283">
        <f>+insumos!$H$121</f>
        <v>0.0445</v>
      </c>
      <c r="Y109" s="245"/>
      <c r="AA109" s="281">
        <v>6184</v>
      </c>
      <c r="AB109" s="1" t="s">
        <v>502</v>
      </c>
      <c r="AC109" s="283">
        <f>insumos!$H$215</f>
        <v>0.6</v>
      </c>
      <c r="AD109" s="245"/>
      <c r="AK109" s="281">
        <v>3741</v>
      </c>
      <c r="AL109" s="282" t="s">
        <v>500</v>
      </c>
      <c r="AM109" s="283">
        <f>insumos!$G$213</f>
        <v>0.8355871886120997</v>
      </c>
      <c r="AN109" s="245"/>
      <c r="AP109" s="26" t="s">
        <v>566</v>
      </c>
      <c r="AQ109" s="30" t="s">
        <v>567</v>
      </c>
      <c r="AR109" s="283">
        <f>insumos!$H$113*12</f>
        <v>0.32411344634605743</v>
      </c>
      <c r="AS109" s="300" t="s">
        <v>753</v>
      </c>
      <c r="AZ109" s="281">
        <v>4986</v>
      </c>
      <c r="BA109" s="30" t="s">
        <v>530</v>
      </c>
      <c r="BB109" s="283">
        <f>insumos!$H$255*2</f>
        <v>0.3799997578260041</v>
      </c>
      <c r="BC109" s="284" t="s">
        <v>532</v>
      </c>
      <c r="BE109" s="281">
        <v>4653</v>
      </c>
      <c r="BF109" s="282" t="s">
        <v>525</v>
      </c>
      <c r="BG109" s="283">
        <f>insumos!$H$254*2</f>
        <v>0.37281192211465247</v>
      </c>
      <c r="BH109" s="284" t="s">
        <v>532</v>
      </c>
      <c r="BY109" s="278"/>
      <c r="BZ109" s="279" t="s">
        <v>134</v>
      </c>
      <c r="CA109" s="278"/>
      <c r="CB109" s="269"/>
      <c r="CD109" s="26" t="s">
        <v>539</v>
      </c>
      <c r="CE109" s="30" t="s">
        <v>540</v>
      </c>
      <c r="CF109" s="283">
        <f>insumos!$H$45</f>
        <v>0.028</v>
      </c>
      <c r="CG109" s="284"/>
      <c r="CI109" s="281">
        <v>4653</v>
      </c>
      <c r="CJ109" s="282" t="s">
        <v>525</v>
      </c>
      <c r="CK109" s="283">
        <f>insumos!$H$254*3</f>
        <v>0.5592178831719787</v>
      </c>
      <c r="CL109" s="284" t="s">
        <v>526</v>
      </c>
      <c r="CN109" s="281">
        <v>4541</v>
      </c>
      <c r="CO109" s="282" t="s">
        <v>529</v>
      </c>
      <c r="CP109" s="283">
        <f>insumos!$H$43</f>
        <v>0.022058823529411766</v>
      </c>
      <c r="CQ109" s="245"/>
      <c r="CS109" s="281">
        <v>6293</v>
      </c>
      <c r="CT109" s="282" t="s">
        <v>565</v>
      </c>
      <c r="CU109" s="283">
        <f>insumos!$H$55*10</f>
        <v>1.61</v>
      </c>
      <c r="CV109" s="1" t="s">
        <v>563</v>
      </c>
    </row>
    <row r="110" spans="2:100" x14ac:dyDescent="0.25">
      <c r="B110" s="278"/>
      <c r="C110" s="279" t="s">
        <v>134</v>
      </c>
      <c r="D110" s="278"/>
      <c r="E110" s="269"/>
      <c r="F110" s="245"/>
      <c r="G110" s="281">
        <v>5523</v>
      </c>
      <c r="H110" s="282" t="s">
        <v>508</v>
      </c>
      <c r="I110" s="283">
        <f>+insumos!$H$285</f>
        <v>1.1829611337771098</v>
      </c>
      <c r="J110" s="284"/>
      <c r="K110" s="285"/>
      <c r="L110" s="26" t="s">
        <v>513</v>
      </c>
      <c r="M110" s="30" t="s">
        <v>514</v>
      </c>
      <c r="N110" s="283">
        <f>+insumos!$H$266</f>
        <v>1.1500000000000001</v>
      </c>
      <c r="O110" s="285"/>
      <c r="Q110" s="26">
        <v>3817</v>
      </c>
      <c r="R110" s="243" t="s">
        <v>524</v>
      </c>
      <c r="S110" s="289">
        <f>insumos!$I$103*1.8</f>
        <v>0.02088</v>
      </c>
      <c r="T110" s="285" t="s">
        <v>538</v>
      </c>
      <c r="V110" s="292"/>
      <c r="W110" s="279" t="s">
        <v>553</v>
      </c>
      <c r="X110" s="293"/>
      <c r="Y110" s="245"/>
      <c r="AA110" s="281">
        <v>2037</v>
      </c>
      <c r="AB110" s="282" t="s">
        <v>511</v>
      </c>
      <c r="AC110" s="283">
        <f>+insumos!$H$268</f>
        <v>0.65</v>
      </c>
      <c r="AD110" s="245"/>
      <c r="AK110" s="281">
        <v>3759</v>
      </c>
      <c r="AL110" s="1" t="s">
        <v>507</v>
      </c>
      <c r="AM110" s="283">
        <f>+insumos!$G$284</f>
        <v>1.1352416613292604</v>
      </c>
      <c r="AN110" s="245"/>
      <c r="AP110" s="297"/>
      <c r="AQ110" s="298" t="s">
        <v>5</v>
      </c>
      <c r="AR110" s="299">
        <f>SUM(AR101:AR109)</f>
        <v>4.721331386113431</v>
      </c>
      <c r="AS110" s="269"/>
      <c r="AZ110" s="26" t="s">
        <v>539</v>
      </c>
      <c r="BA110" s="30" t="s">
        <v>540</v>
      </c>
      <c r="BB110" s="283">
        <f>insumos!$H$45</f>
        <v>0.028</v>
      </c>
      <c r="BC110" s="284"/>
      <c r="BE110" s="26" t="s">
        <v>541</v>
      </c>
      <c r="BF110" s="30" t="s">
        <v>542</v>
      </c>
      <c r="BG110" s="283">
        <f>insumos!$H$50</f>
        <v>0.027941176470588237</v>
      </c>
      <c r="BH110" s="284"/>
      <c r="BY110" s="281">
        <v>5524</v>
      </c>
      <c r="BZ110" s="1" t="s">
        <v>501</v>
      </c>
      <c r="CA110" s="283">
        <f>insumos!$H$217</f>
        <v>0.8950000000000001</v>
      </c>
      <c r="CB110" s="269"/>
      <c r="CD110" s="26">
        <v>3817</v>
      </c>
      <c r="CE110" s="243" t="s">
        <v>524</v>
      </c>
      <c r="CF110" s="289">
        <f>insumos!$I$103*1.8</f>
        <v>0.02088</v>
      </c>
      <c r="CG110" s="290" t="s">
        <v>537</v>
      </c>
      <c r="CI110" s="281">
        <v>4541</v>
      </c>
      <c r="CJ110" s="282" t="s">
        <v>529</v>
      </c>
      <c r="CK110" s="283">
        <f>insumos!$H$43</f>
        <v>0.022058823529411766</v>
      </c>
      <c r="CL110" s="245"/>
      <c r="CN110" s="26">
        <v>3817</v>
      </c>
      <c r="CO110" s="243" t="s">
        <v>524</v>
      </c>
      <c r="CP110" s="289">
        <f>insumos!$I$103*1.8</f>
        <v>0.02088</v>
      </c>
      <c r="CQ110" s="1" t="s">
        <v>538</v>
      </c>
      <c r="CS110" s="297"/>
      <c r="CT110" s="298" t="s">
        <v>5</v>
      </c>
      <c r="CU110" s="299">
        <f>SUM(CU102:CU109)</f>
        <v>3.7032179397673737</v>
      </c>
      <c r="CV110" s="245"/>
    </row>
    <row r="111" spans="2:100" x14ac:dyDescent="0.25">
      <c r="B111" s="281">
        <v>3741</v>
      </c>
      <c r="C111" s="282" t="s">
        <v>500</v>
      </c>
      <c r="D111" s="283">
        <f>insumos!$G$213</f>
        <v>0.8355871886120997</v>
      </c>
      <c r="E111" s="284"/>
      <c r="F111" s="245"/>
      <c r="G111" s="281">
        <v>4542</v>
      </c>
      <c r="H111" s="282" t="s">
        <v>527</v>
      </c>
      <c r="I111" s="283">
        <f>insumos!$I$35</f>
        <v>0.022058823529411763</v>
      </c>
      <c r="J111" s="284"/>
      <c r="K111" s="285"/>
      <c r="L111" s="281">
        <v>4542</v>
      </c>
      <c r="M111" s="286" t="s">
        <v>527</v>
      </c>
      <c r="N111" s="283">
        <f>insumos!$I$35</f>
        <v>0.022058823529411763</v>
      </c>
      <c r="O111" s="285"/>
      <c r="Q111" s="26">
        <v>2173</v>
      </c>
      <c r="R111" s="243" t="s">
        <v>536</v>
      </c>
      <c r="S111" s="289">
        <f>+insumos!$H$149*2</f>
        <v>0.0349502662966019</v>
      </c>
      <c r="T111" s="1" t="s">
        <v>547</v>
      </c>
      <c r="V111" s="26"/>
      <c r="W111" s="30"/>
      <c r="X111" s="283"/>
      <c r="Y111" s="1"/>
      <c r="AA111" s="281">
        <v>4542</v>
      </c>
      <c r="AB111" s="282" t="s">
        <v>527</v>
      </c>
      <c r="AC111" s="283">
        <f>insumos!$I$35</f>
        <v>0.022058823529411763</v>
      </c>
      <c r="AD111" s="245"/>
      <c r="AK111" s="281">
        <v>4653</v>
      </c>
      <c r="AL111" s="282" t="s">
        <v>525</v>
      </c>
      <c r="AM111" s="283">
        <f>insumos!$H$254*2</f>
        <v>0.37281192211465247</v>
      </c>
      <c r="AN111" s="1" t="s">
        <v>547</v>
      </c>
      <c r="AP111" s="281"/>
      <c r="AQ111" s="282" t="s">
        <v>587</v>
      </c>
      <c r="AR111" s="304">
        <f>24848.3/1994</f>
        <v>12.461534603811433</v>
      </c>
      <c r="AS111" s="269"/>
      <c r="AZ111" s="26">
        <v>3817</v>
      </c>
      <c r="BA111" s="243" t="s">
        <v>524</v>
      </c>
      <c r="BB111" s="289">
        <f>insumos!$I$103*1.8</f>
        <v>0.02088</v>
      </c>
      <c r="BC111" s="290" t="s">
        <v>537</v>
      </c>
      <c r="BE111" s="26">
        <v>3817</v>
      </c>
      <c r="BF111" s="243" t="s">
        <v>524</v>
      </c>
      <c r="BG111" s="289">
        <f>insumos!$I$103*1.8</f>
        <v>0.02088</v>
      </c>
      <c r="BH111" s="290" t="s">
        <v>537</v>
      </c>
      <c r="BY111" s="281">
        <v>5523</v>
      </c>
      <c r="BZ111" s="282" t="s">
        <v>508</v>
      </c>
      <c r="CA111" s="283">
        <f>+insumos!$H$285</f>
        <v>1.1829611337771098</v>
      </c>
      <c r="CB111" s="269"/>
      <c r="CD111" s="26">
        <v>2173</v>
      </c>
      <c r="CE111" s="243" t="s">
        <v>536</v>
      </c>
      <c r="CF111" s="289">
        <f>+insumos!$H$149*2</f>
        <v>0.0349502662966019</v>
      </c>
      <c r="CG111" s="291" t="s">
        <v>547</v>
      </c>
      <c r="CI111" s="26">
        <v>3817</v>
      </c>
      <c r="CJ111" s="243" t="s">
        <v>524</v>
      </c>
      <c r="CK111" s="289">
        <f>insumos!$I$103*1.8</f>
        <v>0.02088</v>
      </c>
      <c r="CL111" s="1" t="s">
        <v>538</v>
      </c>
      <c r="CN111" s="26">
        <v>2173</v>
      </c>
      <c r="CO111" s="243" t="s">
        <v>536</v>
      </c>
      <c r="CP111" s="289">
        <f>+insumos!$H$149*2</f>
        <v>0.0349502662966019</v>
      </c>
      <c r="CQ111" s="1" t="s">
        <v>547</v>
      </c>
      <c r="CS111" s="281"/>
      <c r="CT111" s="282" t="s">
        <v>587</v>
      </c>
      <c r="CU111" s="281">
        <v>10.14</v>
      </c>
      <c r="CV111" s="245"/>
    </row>
    <row r="112" spans="2:100" x14ac:dyDescent="0.25">
      <c r="B112" s="281">
        <v>3759</v>
      </c>
      <c r="C112" s="1" t="s">
        <v>507</v>
      </c>
      <c r="D112" s="283">
        <f>+insumos!$G$284</f>
        <v>1.1352416613292604</v>
      </c>
      <c r="E112" s="284"/>
      <c r="F112" s="245"/>
      <c r="G112" s="26">
        <v>3817</v>
      </c>
      <c r="H112" s="243" t="s">
        <v>524</v>
      </c>
      <c r="I112" s="289">
        <f>insumos!$I$103*1.8</f>
        <v>0.02088</v>
      </c>
      <c r="J112" s="290" t="s">
        <v>537</v>
      </c>
      <c r="K112" s="290"/>
      <c r="L112" s="26">
        <v>3817</v>
      </c>
      <c r="M112" s="288" t="s">
        <v>524</v>
      </c>
      <c r="N112" s="289">
        <f>insumos!$I$103*1.8</f>
        <v>0.02088</v>
      </c>
      <c r="O112" s="290" t="s">
        <v>537</v>
      </c>
      <c r="Q112" s="281">
        <v>3636</v>
      </c>
      <c r="R112" s="282" t="s">
        <v>550</v>
      </c>
      <c r="S112" s="283">
        <f>+insumos!$H$121</f>
        <v>0.0445</v>
      </c>
      <c r="T112" s="245"/>
      <c r="V112" s="26"/>
      <c r="W112" s="30"/>
      <c r="X112" s="283"/>
      <c r="Y112" s="1"/>
      <c r="AA112" s="26">
        <v>3817</v>
      </c>
      <c r="AB112" s="243" t="s">
        <v>524</v>
      </c>
      <c r="AC112" s="289">
        <f>insumos!$I$103*1.8</f>
        <v>0.02088</v>
      </c>
      <c r="AD112" s="285" t="s">
        <v>538</v>
      </c>
      <c r="AK112" s="26">
        <v>3817</v>
      </c>
      <c r="AL112" s="243" t="s">
        <v>524</v>
      </c>
      <c r="AM112" s="289">
        <f>insumos!$I$103*1.8</f>
        <v>0.02088</v>
      </c>
      <c r="AN112" s="285" t="s">
        <v>538</v>
      </c>
      <c r="AP112" s="281"/>
      <c r="AQ112" s="307" t="s">
        <v>599</v>
      </c>
      <c r="AR112" s="308">
        <f>+AR110/AR111</f>
        <v>0.3788723890129378</v>
      </c>
      <c r="AS112" s="269"/>
      <c r="AZ112" s="26">
        <v>2173</v>
      </c>
      <c r="BA112" s="243" t="s">
        <v>536</v>
      </c>
      <c r="BB112" s="289">
        <f>+insumos!$H$149*2</f>
        <v>0.0349502662966019</v>
      </c>
      <c r="BC112" s="291" t="s">
        <v>547</v>
      </c>
      <c r="BE112" s="26">
        <v>2173</v>
      </c>
      <c r="BF112" s="243" t="s">
        <v>536</v>
      </c>
      <c r="BG112" s="289">
        <f>+insumos!$H$149*2</f>
        <v>0.0349502662966019</v>
      </c>
      <c r="BH112" s="291" t="s">
        <v>547</v>
      </c>
      <c r="BY112" s="281">
        <v>4986</v>
      </c>
      <c r="BZ112" s="1" t="s">
        <v>530</v>
      </c>
      <c r="CA112" s="283">
        <f>insumos!$H$255*4</f>
        <v>0.7599995156520082</v>
      </c>
      <c r="CB112" s="284" t="s">
        <v>531</v>
      </c>
      <c r="CD112" s="281">
        <v>3636</v>
      </c>
      <c r="CE112" s="282" t="s">
        <v>550</v>
      </c>
      <c r="CF112" s="283">
        <f>+insumos!$H$121</f>
        <v>0.0445</v>
      </c>
      <c r="CG112" s="284"/>
      <c r="CI112" s="26">
        <v>2173</v>
      </c>
      <c r="CJ112" s="243" t="s">
        <v>536</v>
      </c>
      <c r="CK112" s="289">
        <f>+insumos!$H$149*2</f>
        <v>0.0349502662966019</v>
      </c>
      <c r="CL112" s="1" t="s">
        <v>547</v>
      </c>
      <c r="CN112" s="281">
        <v>3636</v>
      </c>
      <c r="CO112" s="282" t="s">
        <v>550</v>
      </c>
      <c r="CP112" s="283">
        <f>+insumos!$H$121</f>
        <v>0.0445</v>
      </c>
      <c r="CS112" s="281"/>
      <c r="CT112" s="307" t="s">
        <v>599</v>
      </c>
      <c r="CU112" s="308">
        <f>+CU110/CU111</f>
        <v>0.36520886979954376</v>
      </c>
      <c r="CV112" s="245"/>
    </row>
    <row r="113" spans="2:100" x14ac:dyDescent="0.25">
      <c r="B113" s="281">
        <v>4653</v>
      </c>
      <c r="C113" s="282" t="s">
        <v>525</v>
      </c>
      <c r="D113" s="283">
        <f>insumos!$H$254</f>
        <v>0.18640596105732624</v>
      </c>
      <c r="E113" s="284"/>
      <c r="F113" s="285"/>
      <c r="G113" s="26">
        <v>2173</v>
      </c>
      <c r="H113" s="243" t="s">
        <v>536</v>
      </c>
      <c r="I113" s="289">
        <f>+insumos!$H$149*2</f>
        <v>0.0349502662966019</v>
      </c>
      <c r="J113" s="291" t="s">
        <v>547</v>
      </c>
      <c r="K113" s="291"/>
      <c r="L113" s="26">
        <v>2173</v>
      </c>
      <c r="M113" s="288" t="s">
        <v>536</v>
      </c>
      <c r="N113" s="289">
        <f>+insumos!$H$149*2</f>
        <v>0.0349502662966019</v>
      </c>
      <c r="O113" s="291" t="s">
        <v>547</v>
      </c>
      <c r="Q113" s="292"/>
      <c r="R113" s="279" t="s">
        <v>553</v>
      </c>
      <c r="S113" s="293"/>
      <c r="T113" s="245"/>
      <c r="V113" s="297"/>
      <c r="W113" s="298" t="s">
        <v>5</v>
      </c>
      <c r="X113" s="299">
        <f>SUM(X104:X112)</f>
        <v>1.4003298207233719</v>
      </c>
      <c r="Y113" s="245"/>
      <c r="AA113" s="26">
        <v>2173</v>
      </c>
      <c r="AB113" s="243" t="s">
        <v>536</v>
      </c>
      <c r="AC113" s="289">
        <f>+insumos!$H$149*2</f>
        <v>0.0349502662966019</v>
      </c>
      <c r="AD113" s="1" t="s">
        <v>547</v>
      </c>
      <c r="AK113" s="281">
        <v>4541</v>
      </c>
      <c r="AL113" s="282" t="s">
        <v>528</v>
      </c>
      <c r="AM113" s="283">
        <f>insumos!$H$43</f>
        <v>0.022058823529411766</v>
      </c>
      <c r="AN113" s="285"/>
      <c r="AP113" s="311"/>
      <c r="AQ113" s="307" t="s">
        <v>604</v>
      </c>
      <c r="AR113" s="308">
        <f>AR112*1.03</f>
        <v>0.39023856068332596</v>
      </c>
      <c r="AS113" s="269"/>
      <c r="AZ113" s="281">
        <v>3636</v>
      </c>
      <c r="BA113" s="282" t="s">
        <v>550</v>
      </c>
      <c r="BB113" s="283">
        <f>+insumos!$H$121</f>
        <v>0.0445</v>
      </c>
      <c r="BC113" s="284"/>
      <c r="BE113" s="281">
        <v>3636</v>
      </c>
      <c r="BF113" s="282" t="s">
        <v>550</v>
      </c>
      <c r="BG113" s="283">
        <f>+insumos!$H$121</f>
        <v>0.0445</v>
      </c>
      <c r="BH113" s="284"/>
      <c r="BY113" s="281">
        <v>4542</v>
      </c>
      <c r="BZ113" s="282" t="s">
        <v>527</v>
      </c>
      <c r="CA113" s="283">
        <f>insumos!$I$35</f>
        <v>0.022058823529411763</v>
      </c>
      <c r="CB113" s="284"/>
      <c r="CD113" s="292"/>
      <c r="CE113" s="279" t="s">
        <v>553</v>
      </c>
      <c r="CF113" s="293"/>
      <c r="CG113" s="284"/>
      <c r="CI113" s="281">
        <v>3636</v>
      </c>
      <c r="CJ113" s="282" t="s">
        <v>550</v>
      </c>
      <c r="CK113" s="283">
        <f>+insumos!$H$121</f>
        <v>0.0445</v>
      </c>
      <c r="CN113" s="294"/>
      <c r="CO113" s="279" t="s">
        <v>553</v>
      </c>
      <c r="CP113" s="295"/>
      <c r="CS113" s="311"/>
      <c r="CT113" s="307" t="s">
        <v>604</v>
      </c>
      <c r="CU113" s="308">
        <f>CU112*1.03</f>
        <v>0.37616513589353007</v>
      </c>
      <c r="CV113" s="245"/>
    </row>
    <row r="114" spans="2:95" x14ac:dyDescent="0.25">
      <c r="B114" s="281">
        <v>4541</v>
      </c>
      <c r="C114" s="282" t="s">
        <v>528</v>
      </c>
      <c r="D114" s="283">
        <f>insumos!$H$43</f>
        <v>0.022058823529411766</v>
      </c>
      <c r="E114" s="284"/>
      <c r="F114" s="285"/>
      <c r="G114" s="281">
        <v>3636</v>
      </c>
      <c r="H114" s="282" t="s">
        <v>550</v>
      </c>
      <c r="I114" s="283">
        <f>+insumos!$H$121</f>
        <v>0.0445</v>
      </c>
      <c r="J114" s="284"/>
      <c r="K114" s="285"/>
      <c r="L114" s="281">
        <v>3636</v>
      </c>
      <c r="M114" s="286" t="s">
        <v>550</v>
      </c>
      <c r="N114" s="283">
        <f>+insumos!$H$121</f>
        <v>0.0445</v>
      </c>
      <c r="O114" s="285"/>
      <c r="Q114" s="26" t="s">
        <v>771</v>
      </c>
      <c r="R114" s="1" t="s">
        <v>772</v>
      </c>
      <c r="S114" s="283">
        <f>insumos!$H$85*4</f>
        <v>1.072</v>
      </c>
      <c r="T114" s="1" t="s">
        <v>531</v>
      </c>
      <c r="V114" s="281"/>
      <c r="W114" s="282" t="s">
        <v>587</v>
      </c>
      <c r="X114" s="304">
        <f>146362.59/5379</f>
        <v>27.21</v>
      </c>
      <c r="Y114" s="245"/>
      <c r="AA114" s="281">
        <v>3636</v>
      </c>
      <c r="AB114" s="282" t="s">
        <v>550</v>
      </c>
      <c r="AC114" s="283">
        <f>+insumos!$H$121</f>
        <v>0.0445</v>
      </c>
      <c r="AD114" s="245"/>
      <c r="AK114" s="26">
        <v>2173</v>
      </c>
      <c r="AL114" s="243" t="s">
        <v>536</v>
      </c>
      <c r="AM114" s="289">
        <f>+insumos!$H$149*2</f>
        <v>0.0349502662966019</v>
      </c>
      <c r="AN114" s="1" t="s">
        <v>547</v>
      </c>
      <c r="AZ114" s="292"/>
      <c r="BA114" s="279" t="s">
        <v>553</v>
      </c>
      <c r="BB114" s="293"/>
      <c r="BC114" s="284"/>
      <c r="BE114" s="292"/>
      <c r="BF114" s="279" t="s">
        <v>553</v>
      </c>
      <c r="BG114" s="293"/>
      <c r="BH114" s="284"/>
      <c r="BY114" s="26">
        <v>3817</v>
      </c>
      <c r="BZ114" s="243" t="s">
        <v>524</v>
      </c>
      <c r="CA114" s="289">
        <f>insumos!$I$103*1.8</f>
        <v>0.02088</v>
      </c>
      <c r="CB114" s="290" t="s">
        <v>537</v>
      </c>
      <c r="CD114" s="26" t="s">
        <v>566</v>
      </c>
      <c r="CE114" s="30" t="s">
        <v>567</v>
      </c>
      <c r="CF114" s="283">
        <f>insumos!$H$113*12</f>
        <v>0.32411344634605743</v>
      </c>
      <c r="CG114" s="296" t="s">
        <v>568</v>
      </c>
      <c r="CI114" s="294"/>
      <c r="CJ114" s="279" t="s">
        <v>553</v>
      </c>
      <c r="CK114" s="295"/>
      <c r="CN114" s="281">
        <v>6214</v>
      </c>
      <c r="CO114" s="282" t="s">
        <v>573</v>
      </c>
      <c r="CP114" s="31">
        <f>insumos!$H$166*16</f>
        <v>1.5031172413793101</v>
      </c>
      <c r="CQ114" s="296" t="s">
        <v>580</v>
      </c>
    </row>
    <row r="115" spans="2:100" x14ac:dyDescent="0.25">
      <c r="B115" s="26">
        <v>3817</v>
      </c>
      <c r="C115" s="243" t="s">
        <v>524</v>
      </c>
      <c r="D115" s="289">
        <f>insumos!$I$103*1.8</f>
        <v>0.02088</v>
      </c>
      <c r="E115" s="290" t="s">
        <v>537</v>
      </c>
      <c r="F115" s="285"/>
      <c r="G115" s="292"/>
      <c r="H115" s="279" t="s">
        <v>553</v>
      </c>
      <c r="I115" s="293"/>
      <c r="J115" s="284"/>
      <c r="K115" s="285"/>
      <c r="L115" s="292"/>
      <c r="M115" s="280" t="s">
        <v>553</v>
      </c>
      <c r="N115" s="293"/>
      <c r="O115" s="285"/>
      <c r="Q115" s="26" t="s">
        <v>658</v>
      </c>
      <c r="R115" s="30" t="s">
        <v>659</v>
      </c>
      <c r="S115" s="283">
        <f>insumos!$H$135*4</f>
        <v>0.082</v>
      </c>
      <c r="T115" s="1" t="s">
        <v>531</v>
      </c>
      <c r="V115" s="281"/>
      <c r="W115" s="307" t="s">
        <v>599</v>
      </c>
      <c r="X115" s="308">
        <f>+X113/X114</f>
        <v>0.05146379348487217</v>
      </c>
      <c r="Y115" s="245"/>
      <c r="AA115" s="292"/>
      <c r="AB115" s="279" t="s">
        <v>553</v>
      </c>
      <c r="AC115" s="293"/>
      <c r="AD115" s="245"/>
      <c r="AK115" s="281">
        <v>3636</v>
      </c>
      <c r="AL115" s="282" t="s">
        <v>550</v>
      </c>
      <c r="AM115" s="283">
        <f>+insumos!$H$121</f>
        <v>0.0445</v>
      </c>
      <c r="AN115" s="245"/>
      <c r="AP115" s="263">
        <v>3673024</v>
      </c>
      <c r="AQ115" s="264" t="s">
        <v>773</v>
      </c>
      <c r="AR115" s="265"/>
      <c r="AS115" s="266"/>
      <c r="AZ115" s="281">
        <v>4102</v>
      </c>
      <c r="BA115" s="282" t="s">
        <v>576</v>
      </c>
      <c r="BB115" s="283">
        <f>insumos!$H$115*9</f>
        <v>0.29700000000000004</v>
      </c>
      <c r="BC115" s="300" t="s">
        <v>579</v>
      </c>
      <c r="BE115" s="26" t="s">
        <v>566</v>
      </c>
      <c r="BF115" s="30" t="s">
        <v>567</v>
      </c>
      <c r="BG115" s="283">
        <f>insumos!$H$113*5</f>
        <v>0.13504726931085725</v>
      </c>
      <c r="BH115" s="300" t="s">
        <v>652</v>
      </c>
      <c r="BY115" s="26">
        <v>2173</v>
      </c>
      <c r="BZ115" s="243" t="s">
        <v>536</v>
      </c>
      <c r="CA115" s="289">
        <f>+insumos!$H$149*2</f>
        <v>0.0349502662966019</v>
      </c>
      <c r="CB115" s="291" t="s">
        <v>547</v>
      </c>
      <c r="CD115" s="281">
        <v>6229</v>
      </c>
      <c r="CE115" s="30" t="s">
        <v>588</v>
      </c>
      <c r="CF115" s="283">
        <f>insumos!$I$265*12</f>
        <v>0.25825519982429496</v>
      </c>
      <c r="CG115" s="296" t="s">
        <v>568</v>
      </c>
      <c r="CI115" s="26" t="s">
        <v>566</v>
      </c>
      <c r="CJ115" s="30" t="s">
        <v>567</v>
      </c>
      <c r="CK115" s="283">
        <f>insumos!$H$113*12</f>
        <v>0.32411344634605743</v>
      </c>
      <c r="CL115" s="300" t="s">
        <v>568</v>
      </c>
      <c r="CN115" s="281">
        <v>5202</v>
      </c>
      <c r="CO115" s="282" t="s">
        <v>586</v>
      </c>
      <c r="CP115" s="31">
        <f>insumos!$H$114*16</f>
        <v>0.4215161904761905</v>
      </c>
      <c r="CQ115" s="296" t="s">
        <v>580</v>
      </c>
      <c r="CS115" s="259">
        <v>6172407</v>
      </c>
      <c r="CT115" s="260" t="s">
        <v>774</v>
      </c>
      <c r="CU115" s="259"/>
      <c r="CV115" s="272"/>
    </row>
    <row r="116" spans="2:100" x14ac:dyDescent="0.25">
      <c r="B116" s="26">
        <v>2173</v>
      </c>
      <c r="C116" s="243" t="s">
        <v>536</v>
      </c>
      <c r="D116" s="289">
        <f>+insumos!$H$149*2</f>
        <v>0.0349502662966019</v>
      </c>
      <c r="E116" s="291" t="s">
        <v>547</v>
      </c>
      <c r="F116" s="285"/>
      <c r="G116" s="26" t="s">
        <v>701</v>
      </c>
      <c r="H116" s="30" t="s">
        <v>702</v>
      </c>
      <c r="I116" s="283">
        <f>insumos!$H$88*2</f>
        <v>1.978</v>
      </c>
      <c r="J116" s="300" t="s">
        <v>532</v>
      </c>
      <c r="K116" s="291"/>
      <c r="L116" s="26" t="s">
        <v>691</v>
      </c>
      <c r="M116" s="1" t="s">
        <v>692</v>
      </c>
      <c r="N116" s="283">
        <f>insumos!$H$93*8</f>
        <v>0.912</v>
      </c>
      <c r="O116" s="291" t="s">
        <v>561</v>
      </c>
      <c r="Q116" s="297"/>
      <c r="R116" s="298" t="s">
        <v>5</v>
      </c>
      <c r="S116" s="299">
        <f>SUM(S107:S115)</f>
        <v>3.321389089826014</v>
      </c>
      <c r="T116" s="245"/>
      <c r="V116" s="311"/>
      <c r="W116" s="307" t="s">
        <v>604</v>
      </c>
      <c r="X116" s="308">
        <f>X115*1.03</f>
        <v>0.05300770728941834</v>
      </c>
      <c r="Y116" s="245"/>
      <c r="AA116" s="26" t="s">
        <v>653</v>
      </c>
      <c r="AB116" s="30" t="s">
        <v>654</v>
      </c>
      <c r="AC116" s="283">
        <f>insumos!$H$224</f>
        <v>0.1</v>
      </c>
      <c r="AD116" s="1"/>
      <c r="AK116" s="292"/>
      <c r="AL116" s="279" t="s">
        <v>553</v>
      </c>
      <c r="AM116" s="293"/>
      <c r="AN116" s="245"/>
      <c r="AP116" s="275" t="s">
        <v>492</v>
      </c>
      <c r="AQ116" s="277" t="s">
        <v>495</v>
      </c>
      <c r="AR116" s="275" t="s">
        <v>467</v>
      </c>
      <c r="AS116" s="245"/>
      <c r="AZ116" s="281">
        <v>6229</v>
      </c>
      <c r="BA116" s="30" t="s">
        <v>588</v>
      </c>
      <c r="BB116" s="283">
        <f>insumos!$I$265*9</f>
        <v>0.19369139986822123</v>
      </c>
      <c r="BC116" s="300" t="s">
        <v>579</v>
      </c>
      <c r="BE116" s="26" t="s">
        <v>691</v>
      </c>
      <c r="BF116" s="1" t="s">
        <v>692</v>
      </c>
      <c r="BG116" s="283">
        <f>insumos!$H$93*5</f>
        <v>0.5700000000000001</v>
      </c>
      <c r="BH116" s="300" t="s">
        <v>652</v>
      </c>
      <c r="BY116" s="281">
        <v>3636</v>
      </c>
      <c r="BZ116" s="282" t="s">
        <v>550</v>
      </c>
      <c r="CA116" s="283">
        <f>+insumos!$H$121</f>
        <v>0.0445</v>
      </c>
      <c r="CD116" s="281">
        <v>6254</v>
      </c>
      <c r="CE116" s="30" t="s">
        <v>600</v>
      </c>
      <c r="CF116" s="283">
        <f>+insumos!$I$208*12</f>
        <v>0.5334893983701396</v>
      </c>
      <c r="CG116" s="296" t="s">
        <v>568</v>
      </c>
      <c r="CI116" s="281">
        <v>6229</v>
      </c>
      <c r="CJ116" s="30" t="s">
        <v>588</v>
      </c>
      <c r="CK116" s="283">
        <f>insumos!$I$265*12</f>
        <v>0.25825519982429496</v>
      </c>
      <c r="CL116" s="300" t="s">
        <v>568</v>
      </c>
      <c r="CN116" s="281">
        <v>6229</v>
      </c>
      <c r="CO116" s="30" t="s">
        <v>588</v>
      </c>
      <c r="CP116" s="31">
        <f>insumos!$I$265*16</f>
        <v>0.3443402664323933</v>
      </c>
      <c r="CQ116" s="296" t="s">
        <v>580</v>
      </c>
      <c r="CS116" s="275" t="s">
        <v>492</v>
      </c>
      <c r="CT116" s="276" t="s">
        <v>495</v>
      </c>
      <c r="CU116" s="275" t="s">
        <v>467</v>
      </c>
      <c r="CV116" s="245"/>
    </row>
    <row r="117" spans="2:100" x14ac:dyDescent="0.25">
      <c r="B117" s="281">
        <v>3636</v>
      </c>
      <c r="C117" s="282" t="s">
        <v>550</v>
      </c>
      <c r="D117" s="283">
        <f>+insumos!$H$121</f>
        <v>0.0445</v>
      </c>
      <c r="E117" s="284"/>
      <c r="F117" s="290"/>
      <c r="G117" s="26" t="s">
        <v>566</v>
      </c>
      <c r="H117" s="30" t="s">
        <v>567</v>
      </c>
      <c r="I117" s="283">
        <f>insumos!$H$113*2</f>
        <v>0.0540189077243429</v>
      </c>
      <c r="J117" s="300" t="s">
        <v>532</v>
      </c>
      <c r="K117" s="291"/>
      <c r="L117" s="26" t="s">
        <v>566</v>
      </c>
      <c r="M117" s="30" t="s">
        <v>567</v>
      </c>
      <c r="N117" s="283">
        <f>insumos!$H$113*8</f>
        <v>0.2160756308973716</v>
      </c>
      <c r="O117" s="291" t="s">
        <v>561</v>
      </c>
      <c r="Q117" s="281"/>
      <c r="R117" s="282" t="s">
        <v>587</v>
      </c>
      <c r="S117" s="304">
        <f>17285.78/856</f>
        <v>20.193668224299063</v>
      </c>
      <c r="T117" s="245"/>
      <c r="AA117" s="26"/>
      <c r="AB117" s="30"/>
      <c r="AC117" s="283"/>
      <c r="AD117" s="1"/>
      <c r="AK117" s="26" t="s">
        <v>566</v>
      </c>
      <c r="AL117" s="30" t="s">
        <v>567</v>
      </c>
      <c r="AM117" s="283">
        <f>insumos!$H$113*5</f>
        <v>0.13504726931085725</v>
      </c>
      <c r="AN117" s="1" t="s">
        <v>652</v>
      </c>
      <c r="AP117" s="278"/>
      <c r="AQ117" s="280" t="s">
        <v>134</v>
      </c>
      <c r="AR117" s="278"/>
      <c r="AS117" s="245"/>
      <c r="AZ117" s="281">
        <v>6254</v>
      </c>
      <c r="BA117" s="30" t="s">
        <v>600</v>
      </c>
      <c r="BB117" s="283">
        <f>+insumos!$I$208*9</f>
        <v>0.40011704877760473</v>
      </c>
      <c r="BC117" s="300" t="s">
        <v>579</v>
      </c>
      <c r="BE117" s="281"/>
      <c r="BF117" s="30"/>
      <c r="BG117" s="283"/>
      <c r="BH117" s="300"/>
      <c r="BY117" s="292"/>
      <c r="BZ117" s="279" t="s">
        <v>553</v>
      </c>
      <c r="CA117" s="293"/>
      <c r="CD117" s="26" t="s">
        <v>606</v>
      </c>
      <c r="CE117" s="30" t="s">
        <v>607</v>
      </c>
      <c r="CF117" s="283">
        <f>insumos!$H$197*12</f>
        <v>1.7449411764705882</v>
      </c>
      <c r="CG117" s="296" t="s">
        <v>568</v>
      </c>
      <c r="CI117" s="281">
        <v>6254</v>
      </c>
      <c r="CJ117" s="30" t="s">
        <v>600</v>
      </c>
      <c r="CK117" s="283">
        <f>+insumos!$I$208*12</f>
        <v>0.5334893983701396</v>
      </c>
      <c r="CL117" s="300" t="s">
        <v>568</v>
      </c>
      <c r="CN117" s="281">
        <v>6254</v>
      </c>
      <c r="CO117" s="30" t="s">
        <v>600</v>
      </c>
      <c r="CP117" s="31">
        <f>+insumos!$I$208*16</f>
        <v>0.7113191978268528</v>
      </c>
      <c r="CQ117" s="296" t="s">
        <v>580</v>
      </c>
      <c r="CS117" s="278"/>
      <c r="CT117" s="279" t="s">
        <v>134</v>
      </c>
      <c r="CU117" s="278"/>
      <c r="CV117" s="245"/>
    </row>
    <row r="118" spans="2:100" x14ac:dyDescent="0.25">
      <c r="B118" s="292"/>
      <c r="C118" s="279" t="s">
        <v>553</v>
      </c>
      <c r="D118" s="293"/>
      <c r="E118" s="284"/>
      <c r="F118" s="291"/>
      <c r="G118" s="297"/>
      <c r="H118" s="298" t="s">
        <v>5</v>
      </c>
      <c r="I118" s="299">
        <f>SUM(I109:I117)</f>
        <v>4.2323691313274665</v>
      </c>
      <c r="J118" s="269"/>
      <c r="K118" s="245"/>
      <c r="L118" s="297"/>
      <c r="M118" s="303" t="s">
        <v>5</v>
      </c>
      <c r="N118" s="299">
        <f>SUM(N109:N117)</f>
        <v>3.295464720723386</v>
      </c>
      <c r="O118" s="245"/>
      <c r="Q118" s="281"/>
      <c r="R118" s="307" t="s">
        <v>599</v>
      </c>
      <c r="S118" s="308">
        <f>+S116/S117</f>
        <v>0.1644767584043687</v>
      </c>
      <c r="T118" s="245"/>
      <c r="V118" s="263">
        <v>993890</v>
      </c>
      <c r="W118" s="264" t="s">
        <v>775</v>
      </c>
      <c r="X118" s="267"/>
      <c r="Y118" s="245"/>
      <c r="AA118" s="297"/>
      <c r="AB118" s="298" t="s">
        <v>5</v>
      </c>
      <c r="AC118" s="299">
        <f>SUM(AC109:AC117)</f>
        <v>1.4723890898260137</v>
      </c>
      <c r="AD118" s="245"/>
      <c r="AK118" s="26" t="s">
        <v>697</v>
      </c>
      <c r="AL118" s="30" t="s">
        <v>698</v>
      </c>
      <c r="AM118" s="283">
        <f>insumos!$H$24*5</f>
        <v>1.105</v>
      </c>
      <c r="AN118" s="1" t="s">
        <v>652</v>
      </c>
      <c r="AP118" s="281">
        <v>3741</v>
      </c>
      <c r="AQ118" s="282" t="s">
        <v>500</v>
      </c>
      <c r="AR118" s="283">
        <f>insumos!$G$213</f>
        <v>0.8355871886120997</v>
      </c>
      <c r="AS118" s="284"/>
      <c r="AZ118" s="26" t="s">
        <v>606</v>
      </c>
      <c r="BA118" s="30" t="s">
        <v>607</v>
      </c>
      <c r="BB118" s="283">
        <f>insumos!$H$197*9</f>
        <v>1.3087058823529412</v>
      </c>
      <c r="BC118" s="300" t="s">
        <v>579</v>
      </c>
      <c r="BE118" s="26" t="s">
        <v>608</v>
      </c>
      <c r="BF118" s="30" t="s">
        <v>609</v>
      </c>
      <c r="BG118" s="283">
        <f>insumos!$H$176*5</f>
        <v>0.27</v>
      </c>
      <c r="BH118" s="300" t="s">
        <v>652</v>
      </c>
      <c r="BY118" s="281">
        <v>6208</v>
      </c>
      <c r="BZ118" s="282" t="s">
        <v>573</v>
      </c>
      <c r="CA118" s="283">
        <f>insumos!$H$188*20</f>
        <v>1.8216470588235292</v>
      </c>
      <c r="CB118" s="300" t="s">
        <v>707</v>
      </c>
      <c r="CD118" s="297"/>
      <c r="CE118" s="298" t="s">
        <v>5</v>
      </c>
      <c r="CF118" s="299">
        <f>SUM(CF106:CF117)</f>
        <v>5.494716312658788</v>
      </c>
      <c r="CG118" s="300"/>
      <c r="CI118" s="26" t="s">
        <v>675</v>
      </c>
      <c r="CJ118" s="30" t="s">
        <v>676</v>
      </c>
      <c r="CK118" s="283">
        <f>insumos!$H$194*12</f>
        <v>2.4000000000000004</v>
      </c>
      <c r="CL118" s="300" t="s">
        <v>568</v>
      </c>
      <c r="CN118" s="297"/>
      <c r="CO118" s="298" t="s">
        <v>5</v>
      </c>
      <c r="CP118" s="299">
        <f>SUM(CP106:CP117)</f>
        <v>5.6327287190541</v>
      </c>
      <c r="CS118" s="281">
        <v>3741</v>
      </c>
      <c r="CT118" s="282" t="s">
        <v>500</v>
      </c>
      <c r="CU118" s="31">
        <f>insumos!$G$213</f>
        <v>0.8355871886120997</v>
      </c>
      <c r="CV118" s="245"/>
    </row>
    <row r="119" spans="2:100" x14ac:dyDescent="0.25">
      <c r="B119" s="281">
        <v>6274</v>
      </c>
      <c r="C119" s="282" t="s">
        <v>573</v>
      </c>
      <c r="D119" s="283">
        <f>insumos!H165*8</f>
        <v>0.784</v>
      </c>
      <c r="E119" s="300" t="s">
        <v>561</v>
      </c>
      <c r="F119" s="285"/>
      <c r="G119" s="281"/>
      <c r="H119" s="282" t="s">
        <v>587</v>
      </c>
      <c r="I119" s="281">
        <v>14.4</v>
      </c>
      <c r="J119" s="269"/>
      <c r="K119" s="245"/>
      <c r="L119" s="281"/>
      <c r="M119" s="286" t="s">
        <v>587</v>
      </c>
      <c r="N119" s="304">
        <f>2748.69/141</f>
        <v>19.494255319148937</v>
      </c>
      <c r="O119" s="245"/>
      <c r="Q119" s="311"/>
      <c r="R119" s="307" t="s">
        <v>604</v>
      </c>
      <c r="S119" s="308">
        <f>S118*1.03</f>
        <v>0.16941106115649976</v>
      </c>
      <c r="V119" s="275" t="s">
        <v>492</v>
      </c>
      <c r="W119" s="276" t="s">
        <v>495</v>
      </c>
      <c r="X119" s="275" t="s">
        <v>467</v>
      </c>
      <c r="Y119" s="245"/>
      <c r="AA119" s="281"/>
      <c r="AB119" s="282" t="s">
        <v>587</v>
      </c>
      <c r="AC119" s="304">
        <f>21952.69/988</f>
        <v>22.219321862348178</v>
      </c>
      <c r="AD119" s="245"/>
      <c r="AK119" s="297"/>
      <c r="AL119" s="298" t="s">
        <v>5</v>
      </c>
      <c r="AM119" s="299">
        <f>SUM(AM109:AM118)</f>
        <v>3.7060771311928837</v>
      </c>
      <c r="AN119" s="245"/>
      <c r="AP119" s="281">
        <v>3759</v>
      </c>
      <c r="AQ119" s="1" t="s">
        <v>507</v>
      </c>
      <c r="AR119" s="283">
        <f>+insumos!$G$284</f>
        <v>1.1352416613292604</v>
      </c>
      <c r="AS119" s="284"/>
      <c r="AZ119" s="297"/>
      <c r="BA119" s="298" t="s">
        <v>5</v>
      </c>
      <c r="BB119" s="299">
        <f>SUM(BB107:BB118)</f>
        <v>4.643431543733473</v>
      </c>
      <c r="BC119" s="300"/>
      <c r="BE119" s="297"/>
      <c r="BF119" s="298" t="s">
        <v>5</v>
      </c>
      <c r="BG119" s="299">
        <f>SUM(BG107:BG118)</f>
        <v>3.9117178228048</v>
      </c>
      <c r="BH119" s="300"/>
      <c r="BY119" s="281">
        <v>5202</v>
      </c>
      <c r="BZ119" s="282" t="s">
        <v>586</v>
      </c>
      <c r="CA119" s="283">
        <f>insumos!$H$114*20</f>
        <v>0.5268952380952381</v>
      </c>
      <c r="CB119" s="300" t="s">
        <v>707</v>
      </c>
      <c r="CD119" s="281"/>
      <c r="CE119" s="282" t="s">
        <v>587</v>
      </c>
      <c r="CF119" s="304">
        <v>4</v>
      </c>
      <c r="CG119" s="269"/>
      <c r="CI119" s="297"/>
      <c r="CJ119" s="298" t="s">
        <v>5</v>
      </c>
      <c r="CK119" s="299">
        <f>SUM(CK107:CK118)</f>
        <v>6.633052206150585</v>
      </c>
      <c r="CN119" s="281"/>
      <c r="CO119" s="282" t="s">
        <v>587</v>
      </c>
      <c r="CP119" s="304">
        <f>511.46/72</f>
        <v>7.10361111111111</v>
      </c>
      <c r="CS119" s="281">
        <v>3759</v>
      </c>
      <c r="CT119" s="1" t="s">
        <v>507</v>
      </c>
      <c r="CU119" s="31">
        <f>+insumos!$G$284</f>
        <v>1.1352416613292604</v>
      </c>
      <c r="CV119" s="245"/>
    </row>
    <row r="120" spans="2:100" x14ac:dyDescent="0.25">
      <c r="B120" s="281">
        <v>5202</v>
      </c>
      <c r="C120" s="282" t="s">
        <v>586</v>
      </c>
      <c r="D120" s="283">
        <f>insumos!$H$114*8</f>
        <v>0.21075809523809524</v>
      </c>
      <c r="E120" s="300" t="s">
        <v>561</v>
      </c>
      <c r="F120" s="245"/>
      <c r="G120" s="281"/>
      <c r="H120" s="307" t="s">
        <v>599</v>
      </c>
      <c r="I120" s="308">
        <f>+I118/I119</f>
        <v>0.29391452300885185</v>
      </c>
      <c r="J120" s="269"/>
      <c r="K120" s="245"/>
      <c r="L120" s="281"/>
      <c r="M120" s="310" t="s">
        <v>599</v>
      </c>
      <c r="N120" s="308">
        <f>+N118/N119</f>
        <v>0.16904799217881877</v>
      </c>
      <c r="O120" s="245"/>
      <c r="T120" s="245"/>
      <c r="V120" s="278"/>
      <c r="W120" s="279" t="s">
        <v>134</v>
      </c>
      <c r="X120" s="278"/>
      <c r="Y120" s="245"/>
      <c r="AA120" s="281"/>
      <c r="AB120" s="307" t="s">
        <v>599</v>
      </c>
      <c r="AC120" s="308">
        <f>+AC118/AC119</f>
        <v>0.06626615784890606</v>
      </c>
      <c r="AD120" s="245"/>
      <c r="AK120" s="281"/>
      <c r="AL120" s="282" t="s">
        <v>587</v>
      </c>
      <c r="AM120" s="304">
        <f>59280.59/5421</f>
        <v>10.935360634569268</v>
      </c>
      <c r="AN120" s="245"/>
      <c r="AP120" s="281">
        <v>4541</v>
      </c>
      <c r="AQ120" s="282" t="s">
        <v>528</v>
      </c>
      <c r="AR120" s="283">
        <f>insumos!$H$43</f>
        <v>0.022058823529411766</v>
      </c>
      <c r="AS120" s="284"/>
      <c r="AZ120" s="281"/>
      <c r="BA120" s="282" t="s">
        <v>587</v>
      </c>
      <c r="BB120" s="304">
        <f>1979.78/374</f>
        <v>5.293529411764705</v>
      </c>
      <c r="BC120" s="269"/>
      <c r="BE120" s="281"/>
      <c r="BF120" s="282" t="s">
        <v>587</v>
      </c>
      <c r="BG120" s="304">
        <f>1104.67/92</f>
        <v>12.007282608695652</v>
      </c>
      <c r="BH120" s="269"/>
      <c r="BY120" s="281">
        <v>6229</v>
      </c>
      <c r="BZ120" s="30" t="s">
        <v>588</v>
      </c>
      <c r="CA120" s="283">
        <f>insumos!$I$265*20</f>
        <v>0.43042533304049163</v>
      </c>
      <c r="CB120" s="300" t="s">
        <v>707</v>
      </c>
      <c r="CD120" s="281"/>
      <c r="CE120" s="307" t="s">
        <v>599</v>
      </c>
      <c r="CF120" s="308">
        <f>+CF118/CF119</f>
        <v>1.373679078164697</v>
      </c>
      <c r="CG120" s="269"/>
      <c r="CI120" s="281"/>
      <c r="CJ120" s="282" t="s">
        <v>587</v>
      </c>
      <c r="CK120" s="304">
        <v>13.24</v>
      </c>
      <c r="CL120" s="245"/>
      <c r="CN120" s="281"/>
      <c r="CO120" s="307" t="s">
        <v>599</v>
      </c>
      <c r="CP120" s="308">
        <f>+CP118/CP119</f>
        <v>0.7929387787351801</v>
      </c>
      <c r="CQ120" s="245"/>
      <c r="CS120" s="281"/>
      <c r="CT120" s="282"/>
      <c r="CU120" s="283"/>
      <c r="CV120" s="284"/>
    </row>
    <row r="121" spans="2:100" x14ac:dyDescent="0.25">
      <c r="B121" s="281">
        <v>6229</v>
      </c>
      <c r="C121" s="30" t="s">
        <v>588</v>
      </c>
      <c r="D121" s="283">
        <f>insumos!$I$265*8</f>
        <v>0.17217013321619665</v>
      </c>
      <c r="E121" s="300" t="s">
        <v>561</v>
      </c>
      <c r="F121" s="296"/>
      <c r="G121" s="311"/>
      <c r="H121" s="307" t="s">
        <v>604</v>
      </c>
      <c r="I121" s="308">
        <f>I120*1.03</f>
        <v>0.3027319586991174</v>
      </c>
      <c r="J121" s="269"/>
      <c r="K121" s="245"/>
      <c r="L121" s="311"/>
      <c r="M121" s="310" t="s">
        <v>604</v>
      </c>
      <c r="N121" s="308">
        <f>N120*1.03</f>
        <v>0.17411943194418333</v>
      </c>
      <c r="O121" s="245"/>
      <c r="Q121" s="263">
        <v>998023</v>
      </c>
      <c r="R121" s="264" t="s">
        <v>776</v>
      </c>
      <c r="S121" s="267"/>
      <c r="T121" s="245"/>
      <c r="V121" s="281">
        <v>6184</v>
      </c>
      <c r="W121" s="1" t="s">
        <v>502</v>
      </c>
      <c r="X121" s="283">
        <f>insumos!$H$215</f>
        <v>0.6</v>
      </c>
      <c r="Y121" s="245"/>
      <c r="AA121" s="311"/>
      <c r="AB121" s="307" t="s">
        <v>604</v>
      </c>
      <c r="AC121" s="308">
        <f>AC120*1.03</f>
        <v>0.06825414258437325</v>
      </c>
      <c r="AD121" s="245"/>
      <c r="AK121" s="281"/>
      <c r="AL121" s="307" t="s">
        <v>599</v>
      </c>
      <c r="AM121" s="308">
        <f>+AM119/AM120</f>
        <v>0.3389076277445387</v>
      </c>
      <c r="AN121" s="245"/>
      <c r="AP121" s="26">
        <v>3817</v>
      </c>
      <c r="AQ121" s="243" t="s">
        <v>524</v>
      </c>
      <c r="AR121" s="289">
        <f>insumos!$I$103*1.8</f>
        <v>0.02088</v>
      </c>
      <c r="AS121" s="290" t="s">
        <v>537</v>
      </c>
      <c r="AZ121" s="281"/>
      <c r="BA121" s="307" t="s">
        <v>599</v>
      </c>
      <c r="BB121" s="308">
        <f>+BB119/BB120</f>
        <v>0.8771900904930442</v>
      </c>
      <c r="BC121" s="269"/>
      <c r="BE121" s="281"/>
      <c r="BF121" s="307" t="s">
        <v>599</v>
      </c>
      <c r="BG121" s="308">
        <f>+BG119/BG120</f>
        <v>0.3257787752885854</v>
      </c>
      <c r="BH121" s="269"/>
      <c r="BY121" s="281">
        <v>6254</v>
      </c>
      <c r="BZ121" s="30" t="s">
        <v>600</v>
      </c>
      <c r="CA121" s="283">
        <f>+insumos!$I$208*20</f>
        <v>0.889148997283566</v>
      </c>
      <c r="CB121" s="300" t="s">
        <v>707</v>
      </c>
      <c r="CD121" s="311"/>
      <c r="CE121" s="307" t="s">
        <v>604</v>
      </c>
      <c r="CF121" s="308">
        <f>CF120*1.03</f>
        <v>1.4148894505096379</v>
      </c>
      <c r="CG121" s="269"/>
      <c r="CI121" s="281"/>
      <c r="CJ121" s="307" t="s">
        <v>599</v>
      </c>
      <c r="CK121" s="308">
        <f>+CK119/CK120</f>
        <v>0.5009858161745154</v>
      </c>
      <c r="CL121" s="269"/>
      <c r="CN121" s="311"/>
      <c r="CO121" s="307" t="s">
        <v>604</v>
      </c>
      <c r="CP121" s="308">
        <f>CP120*1.03</f>
        <v>0.8167269420972356</v>
      </c>
      <c r="CQ121" s="245"/>
      <c r="CS121" s="281">
        <v>4541</v>
      </c>
      <c r="CT121" s="282" t="s">
        <v>529</v>
      </c>
      <c r="CU121" s="283">
        <f>insumos!$H$43</f>
        <v>0.022058823529411766</v>
      </c>
      <c r="CV121" s="245"/>
    </row>
    <row r="122" spans="2:100" x14ac:dyDescent="0.25">
      <c r="B122" s="281">
        <v>6254</v>
      </c>
      <c r="C122" s="30" t="s">
        <v>600</v>
      </c>
      <c r="D122" s="283">
        <f>+insumos!$I$208*8</f>
        <v>0.3556595989134264</v>
      </c>
      <c r="E122" s="300" t="s">
        <v>561</v>
      </c>
      <c r="F122" s="296"/>
      <c r="G122" s="245"/>
      <c r="H122" s="245"/>
      <c r="I122" s="245"/>
      <c r="L122" s="245"/>
      <c r="M122" s="245"/>
      <c r="N122" s="245"/>
      <c r="O122" s="245"/>
      <c r="Q122" s="275" t="s">
        <v>492</v>
      </c>
      <c r="R122" s="276" t="s">
        <v>495</v>
      </c>
      <c r="S122" s="275" t="s">
        <v>467</v>
      </c>
      <c r="T122" s="245"/>
      <c r="V122" s="281">
        <v>2037</v>
      </c>
      <c r="W122" s="282" t="s">
        <v>511</v>
      </c>
      <c r="X122" s="283">
        <f>+insumos!$H$268</f>
        <v>0.65</v>
      </c>
      <c r="Y122" s="245"/>
      <c r="AK122" s="311"/>
      <c r="AL122" s="307" t="s">
        <v>604</v>
      </c>
      <c r="AM122" s="308">
        <f>AM121*1.03</f>
        <v>0.34907485657687487</v>
      </c>
      <c r="AN122" s="245"/>
      <c r="AP122" s="26">
        <v>2173</v>
      </c>
      <c r="AQ122" s="243" t="s">
        <v>536</v>
      </c>
      <c r="AR122" s="289">
        <f>+insumos!$H$149*2</f>
        <v>0.0349502662966019</v>
      </c>
      <c r="AS122" s="291" t="s">
        <v>547</v>
      </c>
      <c r="AZ122" s="311"/>
      <c r="BA122" s="307" t="s">
        <v>604</v>
      </c>
      <c r="BB122" s="308">
        <f>BB121*1.03</f>
        <v>0.9035057932078355</v>
      </c>
      <c r="BC122" s="269"/>
      <c r="BE122" s="311"/>
      <c r="BF122" s="307" t="s">
        <v>604</v>
      </c>
      <c r="BG122" s="308">
        <f>BG121*1.03</f>
        <v>0.335552138547243</v>
      </c>
      <c r="BH122" s="269"/>
      <c r="BY122" s="281">
        <v>5868</v>
      </c>
      <c r="BZ122" s="30" t="s">
        <v>605</v>
      </c>
      <c r="CA122" s="283">
        <f>insumos!$I$243*20</f>
        <v>0.37920000000000004</v>
      </c>
      <c r="CB122" s="300" t="s">
        <v>707</v>
      </c>
      <c r="CI122" s="311"/>
      <c r="CJ122" s="307" t="s">
        <v>604</v>
      </c>
      <c r="CK122" s="308">
        <f>CK121*1.03</f>
        <v>0.5160153906597509</v>
      </c>
      <c r="CL122" s="269"/>
      <c r="CS122" s="26">
        <v>3817</v>
      </c>
      <c r="CT122" s="243" t="s">
        <v>524</v>
      </c>
      <c r="CU122" s="289">
        <f>insumos!$I$103*1.8</f>
        <v>0.02088</v>
      </c>
      <c r="CV122" s="1" t="s">
        <v>538</v>
      </c>
    </row>
    <row r="123" spans="2:100" x14ac:dyDescent="0.25">
      <c r="B123" s="281">
        <v>5868</v>
      </c>
      <c r="C123" s="30" t="s">
        <v>605</v>
      </c>
      <c r="D123" s="283">
        <f>insumos!$I$243*8</f>
        <v>0.15168</v>
      </c>
      <c r="E123" s="300" t="s">
        <v>561</v>
      </c>
      <c r="F123" s="296"/>
      <c r="G123" s="263">
        <v>437229</v>
      </c>
      <c r="H123" s="264" t="s">
        <v>777</v>
      </c>
      <c r="I123" s="267"/>
      <c r="L123" s="263">
        <v>436130</v>
      </c>
      <c r="M123" s="264" t="s">
        <v>778</v>
      </c>
      <c r="N123" s="265">
        <v>850</v>
      </c>
      <c r="O123" s="266">
        <f>N123/E2</f>
        <v>21.11276701440636</v>
      </c>
      <c r="Q123" s="278"/>
      <c r="R123" s="279" t="s">
        <v>134</v>
      </c>
      <c r="S123" s="278"/>
      <c r="T123" s="245"/>
      <c r="V123" s="26" t="s">
        <v>533</v>
      </c>
      <c r="W123" s="30" t="s">
        <v>534</v>
      </c>
      <c r="X123" s="283">
        <f>insumos!$I$33</f>
        <v>0.049999554426770045</v>
      </c>
      <c r="Y123" s="287"/>
      <c r="AA123" s="263">
        <v>991052</v>
      </c>
      <c r="AB123" s="264" t="s">
        <v>779</v>
      </c>
      <c r="AC123" s="267"/>
      <c r="AD123" s="245"/>
      <c r="AP123" s="281">
        <v>3636</v>
      </c>
      <c r="AQ123" s="282" t="s">
        <v>550</v>
      </c>
      <c r="AR123" s="283">
        <f>+insumos!$H$121</f>
        <v>0.0445</v>
      </c>
      <c r="AS123" s="284"/>
      <c r="BY123" s="297"/>
      <c r="BZ123" s="298" t="s">
        <v>5</v>
      </c>
      <c r="CA123" s="299">
        <f>SUM(CA110:CA122)</f>
        <v>7.007666366497957</v>
      </c>
      <c r="CB123" s="245"/>
      <c r="CD123" s="263">
        <v>4545913</v>
      </c>
      <c r="CE123" s="264" t="s">
        <v>780</v>
      </c>
      <c r="CF123" s="267"/>
      <c r="CG123" s="269"/>
      <c r="CN123" s="263">
        <v>4865006</v>
      </c>
      <c r="CO123" s="264" t="s">
        <v>781</v>
      </c>
      <c r="CP123" s="267"/>
      <c r="CQ123" s="269"/>
      <c r="CS123" s="26">
        <v>2173</v>
      </c>
      <c r="CT123" s="243" t="s">
        <v>536</v>
      </c>
      <c r="CU123" s="289">
        <f>+insumos!$H$149*2</f>
        <v>0.0349502662966019</v>
      </c>
      <c r="CV123" s="1" t="s">
        <v>547</v>
      </c>
    </row>
    <row r="124" spans="2:99" x14ac:dyDescent="0.25">
      <c r="B124" s="297"/>
      <c r="C124" s="298" t="s">
        <v>5</v>
      </c>
      <c r="D124" s="299">
        <f>SUM(D111:D123)</f>
        <v>3.9538917281924184</v>
      </c>
      <c r="E124" s="269"/>
      <c r="F124" s="296"/>
      <c r="G124" s="275" t="s">
        <v>492</v>
      </c>
      <c r="H124" s="276" t="s">
        <v>495</v>
      </c>
      <c r="I124" s="275" t="s">
        <v>467</v>
      </c>
      <c r="J124" s="269"/>
      <c r="K124" s="245"/>
      <c r="L124" s="275" t="s">
        <v>492</v>
      </c>
      <c r="M124" s="277" t="s">
        <v>495</v>
      </c>
      <c r="N124" s="275" t="s">
        <v>467</v>
      </c>
      <c r="O124" s="245"/>
      <c r="Q124" s="281">
        <v>2055</v>
      </c>
      <c r="R124" s="1" t="s">
        <v>503</v>
      </c>
      <c r="S124" s="283">
        <f>insumos!$H$266</f>
        <v>1.1500000000000001</v>
      </c>
      <c r="T124" s="245"/>
      <c r="V124" s="26">
        <v>3817</v>
      </c>
      <c r="W124" s="243" t="s">
        <v>524</v>
      </c>
      <c r="X124" s="289">
        <f>insumos!$I$103*1.8</f>
        <v>0.02088</v>
      </c>
      <c r="Y124" s="285" t="s">
        <v>538</v>
      </c>
      <c r="AA124" s="275" t="s">
        <v>492</v>
      </c>
      <c r="AB124" s="276" t="s">
        <v>495</v>
      </c>
      <c r="AC124" s="275" t="s">
        <v>467</v>
      </c>
      <c r="AD124" s="245"/>
      <c r="AK124" s="263">
        <v>1987960</v>
      </c>
      <c r="AL124" s="264" t="s">
        <v>782</v>
      </c>
      <c r="AM124" s="267"/>
      <c r="AN124" s="245"/>
      <c r="AP124" s="292"/>
      <c r="AQ124" s="279" t="s">
        <v>553</v>
      </c>
      <c r="AR124" s="293"/>
      <c r="AS124" s="284"/>
      <c r="AZ124" s="263">
        <v>441460</v>
      </c>
      <c r="BA124" s="264" t="s">
        <v>783</v>
      </c>
      <c r="BB124" s="267"/>
      <c r="BC124" s="269"/>
      <c r="BE124" s="263">
        <v>443560</v>
      </c>
      <c r="BF124" s="264" t="s">
        <v>784</v>
      </c>
      <c r="BG124" s="267"/>
      <c r="BH124" s="269"/>
      <c r="BY124" s="281"/>
      <c r="BZ124" s="282" t="s">
        <v>587</v>
      </c>
      <c r="CA124" s="304">
        <v>11.99</v>
      </c>
      <c r="CB124" s="269"/>
      <c r="CD124" s="275" t="s">
        <v>492</v>
      </c>
      <c r="CE124" s="276" t="s">
        <v>495</v>
      </c>
      <c r="CF124" s="275" t="s">
        <v>467</v>
      </c>
      <c r="CG124" s="269"/>
      <c r="CI124" s="263">
        <v>4546013</v>
      </c>
      <c r="CJ124" s="264" t="s">
        <v>785</v>
      </c>
      <c r="CK124" s="267"/>
      <c r="CL124" s="269"/>
      <c r="CN124" s="275" t="s">
        <v>492</v>
      </c>
      <c r="CO124" s="276" t="s">
        <v>495</v>
      </c>
      <c r="CP124" s="275" t="s">
        <v>467</v>
      </c>
      <c r="CQ124" s="269"/>
      <c r="CS124" s="281">
        <v>3636</v>
      </c>
      <c r="CT124" s="282" t="s">
        <v>550</v>
      </c>
      <c r="CU124" s="283">
        <f>+insumos!$H$121</f>
        <v>0.0445</v>
      </c>
    </row>
    <row r="125" spans="2:99" x14ac:dyDescent="0.25">
      <c r="B125" s="281"/>
      <c r="C125" s="282" t="s">
        <v>587</v>
      </c>
      <c r="D125" s="281">
        <v>11</v>
      </c>
      <c r="E125" s="269"/>
      <c r="F125" s="245"/>
      <c r="G125" s="278"/>
      <c r="H125" s="279" t="s">
        <v>134</v>
      </c>
      <c r="I125" s="278"/>
      <c r="J125" s="269"/>
      <c r="K125" s="245"/>
      <c r="L125" s="278"/>
      <c r="M125" s="280" t="s">
        <v>134</v>
      </c>
      <c r="N125" s="278"/>
      <c r="O125" s="245"/>
      <c r="Q125" s="281">
        <v>5524</v>
      </c>
      <c r="R125" s="282" t="s">
        <v>512</v>
      </c>
      <c r="S125" s="283">
        <f>insumos!$H$217</f>
        <v>0.8950000000000001</v>
      </c>
      <c r="T125" s="245"/>
      <c r="V125" s="26">
        <v>2173</v>
      </c>
      <c r="W125" s="243" t="s">
        <v>536</v>
      </c>
      <c r="X125" s="289">
        <f>+insumos!$H$149*2</f>
        <v>0.0349502662966019</v>
      </c>
      <c r="Y125" s="1" t="s">
        <v>547</v>
      </c>
      <c r="AA125" s="278"/>
      <c r="AB125" s="279" t="s">
        <v>134</v>
      </c>
      <c r="AC125" s="278"/>
      <c r="AD125" s="245"/>
      <c r="AK125" s="275" t="s">
        <v>492</v>
      </c>
      <c r="AL125" s="276" t="s">
        <v>495</v>
      </c>
      <c r="AM125" s="275" t="s">
        <v>467</v>
      </c>
      <c r="AN125" s="245"/>
      <c r="AP125" s="26">
        <v>6292</v>
      </c>
      <c r="AQ125" s="30" t="s">
        <v>725</v>
      </c>
      <c r="AR125" s="283">
        <f>insumos!$H$54*12</f>
        <v>2.6519999999999997</v>
      </c>
      <c r="AS125" s="284" t="s">
        <v>568</v>
      </c>
      <c r="AZ125" s="275" t="s">
        <v>492</v>
      </c>
      <c r="BA125" s="276" t="s">
        <v>495</v>
      </c>
      <c r="BB125" s="275" t="s">
        <v>467</v>
      </c>
      <c r="BC125" s="269"/>
      <c r="BE125" s="275" t="s">
        <v>492</v>
      </c>
      <c r="BF125" s="276" t="s">
        <v>495</v>
      </c>
      <c r="BG125" s="275" t="s">
        <v>467</v>
      </c>
      <c r="BH125" s="269"/>
      <c r="BY125" s="281"/>
      <c r="BZ125" s="307" t="s">
        <v>599</v>
      </c>
      <c r="CA125" s="308">
        <f>+CA123/CA124</f>
        <v>0.5844592465803133</v>
      </c>
      <c r="CB125" s="269"/>
      <c r="CD125" s="278"/>
      <c r="CE125" s="279" t="s">
        <v>134</v>
      </c>
      <c r="CF125" s="278"/>
      <c r="CG125" s="269"/>
      <c r="CI125" s="275" t="s">
        <v>492</v>
      </c>
      <c r="CJ125" s="276" t="s">
        <v>495</v>
      </c>
      <c r="CK125" s="275" t="s">
        <v>467</v>
      </c>
      <c r="CL125" s="269"/>
      <c r="CN125" s="278"/>
      <c r="CO125" s="279" t="s">
        <v>134</v>
      </c>
      <c r="CP125" s="278"/>
      <c r="CQ125" s="269"/>
      <c r="CS125" s="294"/>
      <c r="CT125" s="279" t="s">
        <v>553</v>
      </c>
      <c r="CU125" s="295"/>
    </row>
    <row r="126" spans="2:100" x14ac:dyDescent="0.25">
      <c r="B126" s="281"/>
      <c r="C126" s="307" t="s">
        <v>599</v>
      </c>
      <c r="D126" s="308">
        <f>+D124/D125</f>
        <v>0.35944470256294714</v>
      </c>
      <c r="E126" s="269"/>
      <c r="F126" s="245"/>
      <c r="G126" s="281">
        <v>5524</v>
      </c>
      <c r="H126" s="1" t="s">
        <v>501</v>
      </c>
      <c r="I126" s="283">
        <f>insumos!$H$217</f>
        <v>0.8950000000000001</v>
      </c>
      <c r="J126" s="269"/>
      <c r="K126" s="245"/>
      <c r="L126" s="281">
        <v>3741</v>
      </c>
      <c r="M126" s="282" t="s">
        <v>500</v>
      </c>
      <c r="N126" s="283">
        <f>insumos!$G$213</f>
        <v>0.8355871886120997</v>
      </c>
      <c r="O126" s="285"/>
      <c r="Q126" s="281">
        <v>4542</v>
      </c>
      <c r="R126" s="282" t="s">
        <v>527</v>
      </c>
      <c r="S126" s="283">
        <f>insumos!$I$35</f>
        <v>0.022058823529411763</v>
      </c>
      <c r="V126" s="281">
        <v>3636</v>
      </c>
      <c r="W126" s="282" t="s">
        <v>550</v>
      </c>
      <c r="X126" s="283">
        <f>+insumos!$H$121</f>
        <v>0.0445</v>
      </c>
      <c r="Y126" s="245"/>
      <c r="AA126" s="281">
        <v>6184</v>
      </c>
      <c r="AB126" s="1" t="s">
        <v>502</v>
      </c>
      <c r="AC126" s="283">
        <f>insumos!$H$215</f>
        <v>0.6</v>
      </c>
      <c r="AD126" s="245"/>
      <c r="AK126" s="278"/>
      <c r="AL126" s="279" t="s">
        <v>134</v>
      </c>
      <c r="AM126" s="278"/>
      <c r="AN126" s="245"/>
      <c r="AP126" s="26" t="s">
        <v>566</v>
      </c>
      <c r="AQ126" s="30" t="s">
        <v>567</v>
      </c>
      <c r="AR126" s="283">
        <f>insumos!$H$113*12</f>
        <v>0.32411344634605743</v>
      </c>
      <c r="AS126" s="300" t="s">
        <v>753</v>
      </c>
      <c r="AZ126" s="278"/>
      <c r="BA126" s="279" t="s">
        <v>134</v>
      </c>
      <c r="BB126" s="278"/>
      <c r="BC126" s="269"/>
      <c r="BE126" s="278"/>
      <c r="BF126" s="279" t="s">
        <v>134</v>
      </c>
      <c r="BG126" s="278"/>
      <c r="BH126" s="269"/>
      <c r="BY126" s="311"/>
      <c r="BZ126" s="307" t="s">
        <v>604</v>
      </c>
      <c r="CA126" s="308">
        <f>CA125*1.03</f>
        <v>0.6019930239777228</v>
      </c>
      <c r="CB126" s="245"/>
      <c r="CD126" s="281">
        <v>3741</v>
      </c>
      <c r="CE126" s="282" t="s">
        <v>500</v>
      </c>
      <c r="CF126" s="283">
        <f>insumos!$G$213</f>
        <v>0.8355871886120997</v>
      </c>
      <c r="CG126" s="284"/>
      <c r="CI126" s="278"/>
      <c r="CJ126" s="279" t="s">
        <v>134</v>
      </c>
      <c r="CK126" s="278"/>
      <c r="CL126" s="269"/>
      <c r="CN126" s="281">
        <v>5524</v>
      </c>
      <c r="CO126" s="1" t="s">
        <v>501</v>
      </c>
      <c r="CP126" s="283">
        <f>insumos!$H$217</f>
        <v>0.8950000000000001</v>
      </c>
      <c r="CQ126" s="269"/>
      <c r="CS126" s="26"/>
      <c r="CT126" s="30"/>
      <c r="CU126" s="31"/>
      <c r="CV126" s="296"/>
    </row>
    <row r="127" spans="2:100" x14ac:dyDescent="0.25">
      <c r="B127" s="311"/>
      <c r="C127" s="307" t="s">
        <v>604</v>
      </c>
      <c r="D127" s="308">
        <f>D126*1.03</f>
        <v>0.3702280436398356</v>
      </c>
      <c r="E127" s="269"/>
      <c r="F127" s="245"/>
      <c r="G127" s="281">
        <v>5523</v>
      </c>
      <c r="H127" s="282" t="s">
        <v>508</v>
      </c>
      <c r="I127" s="283">
        <f>+insumos!$H$285</f>
        <v>1.1829611337771098</v>
      </c>
      <c r="J127" s="284"/>
      <c r="K127" s="285"/>
      <c r="L127" s="26" t="s">
        <v>509</v>
      </c>
      <c r="M127" s="30" t="s">
        <v>510</v>
      </c>
      <c r="N127" s="283">
        <f>+insumos!$H$267</f>
        <v>1.2</v>
      </c>
      <c r="O127" s="285"/>
      <c r="Q127" s="26">
        <v>3817</v>
      </c>
      <c r="R127" s="243" t="s">
        <v>524</v>
      </c>
      <c r="S127" s="289">
        <f>insumos!$I$103*1.8</f>
        <v>0.02088</v>
      </c>
      <c r="T127" s="285" t="s">
        <v>538</v>
      </c>
      <c r="V127" s="292"/>
      <c r="W127" s="279" t="s">
        <v>553</v>
      </c>
      <c r="X127" s="293"/>
      <c r="Y127" s="245"/>
      <c r="AA127" s="281">
        <v>2037</v>
      </c>
      <c r="AB127" s="282" t="s">
        <v>511</v>
      </c>
      <c r="AC127" s="283">
        <f>+insumos!$H$268</f>
        <v>0.65</v>
      </c>
      <c r="AD127" s="245"/>
      <c r="AK127" s="281">
        <v>6184</v>
      </c>
      <c r="AL127" s="1" t="s">
        <v>502</v>
      </c>
      <c r="AM127" s="283">
        <f>insumos!$H$215</f>
        <v>0.6</v>
      </c>
      <c r="AN127" s="245"/>
      <c r="AP127" s="297"/>
      <c r="AQ127" s="298" t="s">
        <v>5</v>
      </c>
      <c r="AR127" s="299">
        <f>SUM(AR118:AR126)</f>
        <v>5.069331386113431</v>
      </c>
      <c r="AS127" s="269"/>
      <c r="AZ127" s="281">
        <v>3741</v>
      </c>
      <c r="BA127" s="282" t="s">
        <v>500</v>
      </c>
      <c r="BB127" s="283">
        <f>insumos!$G$213</f>
        <v>0.8355871886120997</v>
      </c>
      <c r="BC127" s="284"/>
      <c r="BE127" s="281">
        <v>3741</v>
      </c>
      <c r="BF127" s="282" t="s">
        <v>500</v>
      </c>
      <c r="BG127" s="283">
        <f>insumos!$G$213</f>
        <v>0.8355871886120997</v>
      </c>
      <c r="BH127" s="284"/>
      <c r="CD127" s="26" t="s">
        <v>515</v>
      </c>
      <c r="CE127" s="30" t="s">
        <v>516</v>
      </c>
      <c r="CF127" s="283">
        <f>+insumos!$G$283</f>
        <v>1.1</v>
      </c>
      <c r="CG127" s="284"/>
      <c r="CI127" s="281">
        <v>3741</v>
      </c>
      <c r="CJ127" s="282" t="s">
        <v>500</v>
      </c>
      <c r="CK127" s="31">
        <f>insumos!$G$213</f>
        <v>0.8355871886120997</v>
      </c>
      <c r="CL127" s="245"/>
      <c r="CN127" s="281">
        <v>5523</v>
      </c>
      <c r="CO127" s="282" t="s">
        <v>508</v>
      </c>
      <c r="CP127" s="283">
        <f>+insumos!$H$285</f>
        <v>1.1829611337771098</v>
      </c>
      <c r="CQ127" s="269"/>
      <c r="CS127" s="26" t="s">
        <v>566</v>
      </c>
      <c r="CT127" s="30" t="s">
        <v>567</v>
      </c>
      <c r="CU127" s="283">
        <f>insumos!$H$113*10</f>
        <v>0.2700945386217145</v>
      </c>
      <c r="CV127" s="1" t="s">
        <v>563</v>
      </c>
    </row>
    <row r="128" spans="6:100" x14ac:dyDescent="0.25">
      <c r="F128" s="245"/>
      <c r="G128" s="281">
        <v>4542</v>
      </c>
      <c r="H128" s="282" t="s">
        <v>527</v>
      </c>
      <c r="I128" s="283">
        <f>insumos!$I$35</f>
        <v>0.022058823529411763</v>
      </c>
      <c r="J128" s="284"/>
      <c r="K128" s="285"/>
      <c r="L128" s="281">
        <v>4541</v>
      </c>
      <c r="M128" s="282" t="s">
        <v>528</v>
      </c>
      <c r="N128" s="283">
        <f>insumos!$H$43</f>
        <v>0.022058823529411766</v>
      </c>
      <c r="O128" s="285"/>
      <c r="Q128" s="26">
        <v>2173</v>
      </c>
      <c r="R128" s="243" t="s">
        <v>536</v>
      </c>
      <c r="S128" s="289">
        <f>+insumos!$H$149*2</f>
        <v>0.0349502662966019</v>
      </c>
      <c r="T128" s="1" t="s">
        <v>547</v>
      </c>
      <c r="V128" s="26"/>
      <c r="W128" s="30"/>
      <c r="X128" s="283"/>
      <c r="Y128" s="1"/>
      <c r="AA128" s="281">
        <v>4542</v>
      </c>
      <c r="AB128" s="282" t="s">
        <v>527</v>
      </c>
      <c r="AC128" s="283">
        <f>insumos!$I$35</f>
        <v>0.022058823529411763</v>
      </c>
      <c r="AD128" s="245"/>
      <c r="AK128" s="281">
        <v>5523</v>
      </c>
      <c r="AL128" s="282" t="s">
        <v>508</v>
      </c>
      <c r="AM128" s="283">
        <f>+insumos!$H$285</f>
        <v>1.1829611337771098</v>
      </c>
      <c r="AN128" s="245"/>
      <c r="AP128" s="281"/>
      <c r="AQ128" s="282" t="s">
        <v>587</v>
      </c>
      <c r="AR128" s="304">
        <v>16.55</v>
      </c>
      <c r="AS128" s="269"/>
      <c r="AZ128" s="26" t="s">
        <v>515</v>
      </c>
      <c r="BA128" s="30" t="s">
        <v>516</v>
      </c>
      <c r="BB128" s="283">
        <f>+insumos!$G$283</f>
        <v>1.1</v>
      </c>
      <c r="BC128" s="284"/>
      <c r="BE128" s="26" t="s">
        <v>517</v>
      </c>
      <c r="BF128" s="30" t="s">
        <v>518</v>
      </c>
      <c r="BG128" s="283">
        <f>+insumos!$H$263</f>
        <v>1.6</v>
      </c>
      <c r="BH128" s="284"/>
      <c r="BY128" s="263">
        <v>4543916</v>
      </c>
      <c r="BZ128" s="264" t="s">
        <v>786</v>
      </c>
      <c r="CA128" s="267"/>
      <c r="CB128" s="269"/>
      <c r="CD128" s="281">
        <v>4986</v>
      </c>
      <c r="CE128" s="30" t="s">
        <v>530</v>
      </c>
      <c r="CF128" s="283">
        <f>insumos!$H$255*3</f>
        <v>0.5699996367390061</v>
      </c>
      <c r="CG128" s="284" t="s">
        <v>526</v>
      </c>
      <c r="CI128" s="26" t="s">
        <v>521</v>
      </c>
      <c r="CJ128" s="30" t="s">
        <v>522</v>
      </c>
      <c r="CK128" s="31">
        <f>+insumos!$H$274</f>
        <v>1.6</v>
      </c>
      <c r="CL128" s="245"/>
      <c r="CN128" s="281">
        <v>4986</v>
      </c>
      <c r="CO128" s="1" t="s">
        <v>530</v>
      </c>
      <c r="CP128" s="283">
        <f>insumos!$H$255*3</f>
        <v>0.5699996367390061</v>
      </c>
      <c r="CQ128" s="284" t="s">
        <v>526</v>
      </c>
      <c r="CS128" s="26" t="s">
        <v>712</v>
      </c>
      <c r="CT128" s="1" t="s">
        <v>713</v>
      </c>
      <c r="CU128" s="31">
        <f>insumos!$H$241*10</f>
        <v>1.85</v>
      </c>
      <c r="CV128" s="296" t="s">
        <v>563</v>
      </c>
    </row>
    <row r="129" spans="2:99" x14ac:dyDescent="0.25">
      <c r="B129" s="263">
        <v>439031</v>
      </c>
      <c r="C129" s="264" t="s">
        <v>621</v>
      </c>
      <c r="D129" s="267">
        <v>870</v>
      </c>
      <c r="E129" s="272">
        <f>D129/E2</f>
        <v>21.609538002980628</v>
      </c>
      <c r="G129" s="26">
        <v>3817</v>
      </c>
      <c r="H129" s="243" t="s">
        <v>524</v>
      </c>
      <c r="I129" s="289">
        <f>insumos!$I$103*1.8</f>
        <v>0.02088</v>
      </c>
      <c r="J129" s="290" t="s">
        <v>537</v>
      </c>
      <c r="K129" s="285"/>
      <c r="L129" s="26">
        <v>3817</v>
      </c>
      <c r="M129" s="288" t="s">
        <v>524</v>
      </c>
      <c r="N129" s="289">
        <f>insumos!$I$103*1.8</f>
        <v>0.02088</v>
      </c>
      <c r="O129" s="290" t="s">
        <v>537</v>
      </c>
      <c r="Q129" s="281">
        <v>3636</v>
      </c>
      <c r="R129" s="282" t="s">
        <v>550</v>
      </c>
      <c r="S129" s="283">
        <f>+insumos!$H$121</f>
        <v>0.0445</v>
      </c>
      <c r="T129" s="245"/>
      <c r="V129" s="26"/>
      <c r="W129" s="30"/>
      <c r="X129" s="283"/>
      <c r="Y129" s="1"/>
      <c r="AA129" s="26">
        <v>3817</v>
      </c>
      <c r="AB129" s="243" t="s">
        <v>524</v>
      </c>
      <c r="AC129" s="289">
        <f>insumos!$I$103*1.8</f>
        <v>0.02088</v>
      </c>
      <c r="AD129" s="285" t="s">
        <v>538</v>
      </c>
      <c r="AK129" s="281">
        <v>4542</v>
      </c>
      <c r="AL129" s="282" t="s">
        <v>527</v>
      </c>
      <c r="AM129" s="283">
        <f>insumos!$I$35</f>
        <v>0.022058823529411763</v>
      </c>
      <c r="AN129" s="245"/>
      <c r="AP129" s="281"/>
      <c r="AQ129" s="307" t="s">
        <v>599</v>
      </c>
      <c r="AR129" s="308">
        <f>+AR127/AR128</f>
        <v>0.30630401124552453</v>
      </c>
      <c r="AS129" s="269"/>
      <c r="AZ129" s="281">
        <v>4986</v>
      </c>
      <c r="BA129" s="30" t="s">
        <v>530</v>
      </c>
      <c r="BB129" s="283">
        <f>insumos!$H$255*2</f>
        <v>0.3799997578260041</v>
      </c>
      <c r="BC129" s="284" t="s">
        <v>532</v>
      </c>
      <c r="BE129" s="281"/>
      <c r="BF129" s="282"/>
      <c r="BG129" s="283"/>
      <c r="BH129" s="284"/>
      <c r="BY129" s="275" t="s">
        <v>492</v>
      </c>
      <c r="BZ129" s="276" t="s">
        <v>495</v>
      </c>
      <c r="CA129" s="275" t="s">
        <v>467</v>
      </c>
      <c r="CB129" s="269"/>
      <c r="CD129" s="26" t="s">
        <v>539</v>
      </c>
      <c r="CE129" s="30" t="s">
        <v>540</v>
      </c>
      <c r="CF129" s="283">
        <f>insumos!$H$45</f>
        <v>0.028</v>
      </c>
      <c r="CG129" s="284"/>
      <c r="CI129" s="281">
        <v>4653</v>
      </c>
      <c r="CJ129" s="282" t="s">
        <v>525</v>
      </c>
      <c r="CK129" s="283">
        <f>insumos!$H$254*3</f>
        <v>0.5592178831719787</v>
      </c>
      <c r="CL129" s="284" t="s">
        <v>526</v>
      </c>
      <c r="CN129" s="281">
        <v>4542</v>
      </c>
      <c r="CO129" s="282" t="s">
        <v>527</v>
      </c>
      <c r="CP129" s="283">
        <f>insumos!$I$35</f>
        <v>0.022058823529411763</v>
      </c>
      <c r="CQ129" s="284"/>
      <c r="CS129" s="297"/>
      <c r="CT129" s="298" t="s">
        <v>5</v>
      </c>
      <c r="CU129" s="299">
        <f>SUM(CU118:CU128)</f>
        <v>4.2133124783890885</v>
      </c>
    </row>
    <row r="130" spans="2:99" x14ac:dyDescent="0.25">
      <c r="B130" s="275" t="s">
        <v>492</v>
      </c>
      <c r="C130" s="276" t="s">
        <v>495</v>
      </c>
      <c r="D130" s="275" t="s">
        <v>467</v>
      </c>
      <c r="E130" s="269"/>
      <c r="F130" s="245"/>
      <c r="G130" s="26">
        <v>2173</v>
      </c>
      <c r="H130" s="243" t="s">
        <v>536</v>
      </c>
      <c r="I130" s="289">
        <f>+insumos!$H$149*2</f>
        <v>0.0349502662966019</v>
      </c>
      <c r="J130" s="291" t="s">
        <v>547</v>
      </c>
      <c r="K130" s="290"/>
      <c r="L130" s="26">
        <v>2173</v>
      </c>
      <c r="M130" s="288" t="s">
        <v>536</v>
      </c>
      <c r="N130" s="289">
        <f>+insumos!$H$149*2</f>
        <v>0.0349502662966019</v>
      </c>
      <c r="O130" s="291" t="s">
        <v>547</v>
      </c>
      <c r="Q130" s="292"/>
      <c r="R130" s="279" t="s">
        <v>553</v>
      </c>
      <c r="S130" s="293"/>
      <c r="T130" s="245"/>
      <c r="V130" s="297"/>
      <c r="W130" s="298" t="s">
        <v>5</v>
      </c>
      <c r="X130" s="299">
        <f>SUM(X121:X129)</f>
        <v>1.4003298207233719</v>
      </c>
      <c r="Y130" s="245"/>
      <c r="AA130" s="26">
        <v>2173</v>
      </c>
      <c r="AB130" s="243" t="s">
        <v>536</v>
      </c>
      <c r="AC130" s="289">
        <f>+insumos!$H$149*2</f>
        <v>0.0349502662966019</v>
      </c>
      <c r="AD130" s="1" t="s">
        <v>547</v>
      </c>
      <c r="AK130" s="26">
        <v>3817</v>
      </c>
      <c r="AL130" s="243" t="s">
        <v>524</v>
      </c>
      <c r="AM130" s="289">
        <f>insumos!$I$103*1.8</f>
        <v>0.02088</v>
      </c>
      <c r="AN130" s="285" t="s">
        <v>538</v>
      </c>
      <c r="AP130" s="311"/>
      <c r="AQ130" s="307" t="s">
        <v>604</v>
      </c>
      <c r="AR130" s="308">
        <f>AR129*1.03</f>
        <v>0.3154931315828903</v>
      </c>
      <c r="AS130" s="269"/>
      <c r="AZ130" s="26" t="s">
        <v>539</v>
      </c>
      <c r="BA130" s="30" t="s">
        <v>540</v>
      </c>
      <c r="BB130" s="283">
        <f>insumos!$H$45</f>
        <v>0.028</v>
      </c>
      <c r="BC130" s="284"/>
      <c r="BE130" s="26" t="s">
        <v>541</v>
      </c>
      <c r="BF130" s="30" t="s">
        <v>542</v>
      </c>
      <c r="BG130" s="283">
        <f>insumos!$H$50</f>
        <v>0.027941176470588237</v>
      </c>
      <c r="BH130" s="284"/>
      <c r="BY130" s="278"/>
      <c r="BZ130" s="279" t="s">
        <v>134</v>
      </c>
      <c r="CA130" s="278"/>
      <c r="CB130" s="269"/>
      <c r="CD130" s="26">
        <v>3817</v>
      </c>
      <c r="CE130" s="243" t="s">
        <v>524</v>
      </c>
      <c r="CF130" s="289">
        <f>insumos!$I$103*1.8</f>
        <v>0.02088</v>
      </c>
      <c r="CG130" s="290" t="s">
        <v>537</v>
      </c>
      <c r="CI130" s="281">
        <v>4541</v>
      </c>
      <c r="CJ130" s="282" t="s">
        <v>529</v>
      </c>
      <c r="CK130" s="283">
        <f>insumos!$H$43</f>
        <v>0.022058823529411766</v>
      </c>
      <c r="CL130" s="245"/>
      <c r="CN130" s="26">
        <v>3817</v>
      </c>
      <c r="CO130" s="243" t="s">
        <v>524</v>
      </c>
      <c r="CP130" s="289">
        <f>insumos!$I$103*1.8</f>
        <v>0.02088</v>
      </c>
      <c r="CQ130" s="290" t="s">
        <v>537</v>
      </c>
      <c r="CS130" s="281"/>
      <c r="CT130" s="282" t="s">
        <v>587</v>
      </c>
      <c r="CU130" s="304">
        <v>11.06</v>
      </c>
    </row>
    <row r="131" spans="2:100" x14ac:dyDescent="0.25">
      <c r="B131" s="278"/>
      <c r="C131" s="279" t="s">
        <v>134</v>
      </c>
      <c r="D131" s="278"/>
      <c r="E131" s="269"/>
      <c r="F131" s="245"/>
      <c r="G131" s="281">
        <v>3636</v>
      </c>
      <c r="H131" s="282" t="s">
        <v>550</v>
      </c>
      <c r="I131" s="283">
        <f>+insumos!$H$121</f>
        <v>0.0445</v>
      </c>
      <c r="K131" s="291"/>
      <c r="L131" s="281">
        <v>3636</v>
      </c>
      <c r="M131" s="286" t="s">
        <v>550</v>
      </c>
      <c r="N131" s="283">
        <f>+insumos!$H$121</f>
        <v>0.0445</v>
      </c>
      <c r="O131" s="285"/>
      <c r="Q131" s="26" t="s">
        <v>771</v>
      </c>
      <c r="R131" s="1" t="s">
        <v>772</v>
      </c>
      <c r="S131" s="283">
        <f>insumos!$H$85*4</f>
        <v>1.072</v>
      </c>
      <c r="T131" s="1" t="s">
        <v>531</v>
      </c>
      <c r="V131" s="281"/>
      <c r="W131" s="282" t="s">
        <v>587</v>
      </c>
      <c r="X131" s="304">
        <f>146362.59/5379</f>
        <v>27.21</v>
      </c>
      <c r="Y131" s="245"/>
      <c r="AA131" s="281">
        <v>3636</v>
      </c>
      <c r="AB131" s="282" t="s">
        <v>550</v>
      </c>
      <c r="AC131" s="283">
        <f>+insumos!$H$121</f>
        <v>0.0445</v>
      </c>
      <c r="AD131" s="245"/>
      <c r="AK131" s="26">
        <v>2173</v>
      </c>
      <c r="AL131" s="243" t="s">
        <v>536</v>
      </c>
      <c r="AM131" s="289">
        <f>+insumos!$H$149*2</f>
        <v>0.0349502662966019</v>
      </c>
      <c r="AN131" s="1" t="s">
        <v>547</v>
      </c>
      <c r="AZ131" s="26">
        <v>3817</v>
      </c>
      <c r="BA131" s="243" t="s">
        <v>524</v>
      </c>
      <c r="BB131" s="289">
        <f>insumos!$I$103*1.8</f>
        <v>0.02088</v>
      </c>
      <c r="BC131" s="290" t="s">
        <v>537</v>
      </c>
      <c r="BE131" s="26">
        <v>3817</v>
      </c>
      <c r="BF131" s="243" t="s">
        <v>524</v>
      </c>
      <c r="BG131" s="289">
        <f>insumos!$I$103*1.8</f>
        <v>0.02088</v>
      </c>
      <c r="BH131" s="290" t="s">
        <v>537</v>
      </c>
      <c r="BY131" s="281">
        <v>3741</v>
      </c>
      <c r="BZ131" s="282" t="s">
        <v>500</v>
      </c>
      <c r="CA131" s="31">
        <f>insumos!$G$213</f>
        <v>0.8355871886120997</v>
      </c>
      <c r="CB131" s="245"/>
      <c r="CD131" s="26">
        <v>2173</v>
      </c>
      <c r="CE131" s="243" t="s">
        <v>536</v>
      </c>
      <c r="CF131" s="289">
        <f>+insumos!$H$149*2</f>
        <v>0.0349502662966019</v>
      </c>
      <c r="CG131" s="291" t="s">
        <v>547</v>
      </c>
      <c r="CI131" s="26">
        <v>3817</v>
      </c>
      <c r="CJ131" s="243" t="s">
        <v>524</v>
      </c>
      <c r="CK131" s="289">
        <f>insumos!$I$103*1.8</f>
        <v>0.02088</v>
      </c>
      <c r="CL131" s="1" t="s">
        <v>538</v>
      </c>
      <c r="CN131" s="26">
        <v>2173</v>
      </c>
      <c r="CO131" s="243" t="s">
        <v>536</v>
      </c>
      <c r="CP131" s="289">
        <f>+insumos!$H$149*2</f>
        <v>0.0349502662966019</v>
      </c>
      <c r="CQ131" s="291" t="s">
        <v>547</v>
      </c>
      <c r="CS131" s="281"/>
      <c r="CT131" s="307" t="s">
        <v>599</v>
      </c>
      <c r="CU131" s="308">
        <f>+CU129/CU130</f>
        <v>0.3809504953335523</v>
      </c>
      <c r="CV131" s="245"/>
    </row>
    <row r="132" spans="2:100" x14ac:dyDescent="0.25">
      <c r="B132" s="281">
        <v>3741</v>
      </c>
      <c r="C132" s="282" t="s">
        <v>500</v>
      </c>
      <c r="D132" s="283">
        <f>insumos!$G$213</f>
        <v>0.8355871886120997</v>
      </c>
      <c r="E132" s="284"/>
      <c r="F132" s="245"/>
      <c r="G132" s="292"/>
      <c r="H132" s="279" t="s">
        <v>553</v>
      </c>
      <c r="I132" s="293"/>
      <c r="J132" s="284"/>
      <c r="K132" s="285"/>
      <c r="L132" s="292"/>
      <c r="M132" s="280" t="s">
        <v>553</v>
      </c>
      <c r="N132" s="293"/>
      <c r="O132" s="285"/>
      <c r="Q132" s="26" t="s">
        <v>658</v>
      </c>
      <c r="R132" s="30" t="s">
        <v>659</v>
      </c>
      <c r="S132" s="283">
        <f>insumos!$H$135*4</f>
        <v>0.082</v>
      </c>
      <c r="T132" s="1" t="s">
        <v>531</v>
      </c>
      <c r="V132" s="281"/>
      <c r="W132" s="307" t="s">
        <v>599</v>
      </c>
      <c r="X132" s="308">
        <f>+X130/X131</f>
        <v>0.05146379348487217</v>
      </c>
      <c r="Y132" s="245"/>
      <c r="AA132" s="292"/>
      <c r="AB132" s="279" t="s">
        <v>553</v>
      </c>
      <c r="AC132" s="293"/>
      <c r="AD132" s="245"/>
      <c r="AK132" s="281">
        <v>3636</v>
      </c>
      <c r="AL132" s="282" t="s">
        <v>550</v>
      </c>
      <c r="AM132" s="283">
        <f>+insumos!$H$121</f>
        <v>0.0445</v>
      </c>
      <c r="AN132" s="245"/>
      <c r="AZ132" s="26">
        <v>2173</v>
      </c>
      <c r="BA132" s="243" t="s">
        <v>536</v>
      </c>
      <c r="BB132" s="289">
        <f>+insumos!$H$149*2</f>
        <v>0.0349502662966019</v>
      </c>
      <c r="BC132" s="291" t="s">
        <v>547</v>
      </c>
      <c r="BE132" s="26">
        <v>2173</v>
      </c>
      <c r="BF132" s="243" t="s">
        <v>536</v>
      </c>
      <c r="BG132" s="289">
        <f>+insumos!$H$149*2</f>
        <v>0.0349502662966019</v>
      </c>
      <c r="BH132" s="291" t="s">
        <v>547</v>
      </c>
      <c r="BY132" s="281">
        <v>3759</v>
      </c>
      <c r="BZ132" s="1" t="s">
        <v>507</v>
      </c>
      <c r="CA132" s="31">
        <f>+insumos!$G$284</f>
        <v>1.1352416613292604</v>
      </c>
      <c r="CB132" s="245"/>
      <c r="CD132" s="281">
        <v>3636</v>
      </c>
      <c r="CE132" s="282" t="s">
        <v>550</v>
      </c>
      <c r="CF132" s="283">
        <f>+insumos!$H$121</f>
        <v>0.0445</v>
      </c>
      <c r="CG132" s="284"/>
      <c r="CI132" s="26">
        <v>2173</v>
      </c>
      <c r="CJ132" s="243" t="s">
        <v>536</v>
      </c>
      <c r="CK132" s="289">
        <f>+insumos!$H$149*2</f>
        <v>0.0349502662966019</v>
      </c>
      <c r="CL132" s="1" t="s">
        <v>547</v>
      </c>
      <c r="CN132" s="281">
        <v>3636</v>
      </c>
      <c r="CO132" s="282" t="s">
        <v>550</v>
      </c>
      <c r="CP132" s="283">
        <f>+insumos!$H$121</f>
        <v>0.0445</v>
      </c>
      <c r="CS132" s="311"/>
      <c r="CT132" s="307" t="s">
        <v>604</v>
      </c>
      <c r="CU132" s="308">
        <f>CU131*1.03</f>
        <v>0.39237901019355886</v>
      </c>
      <c r="CV132" s="245"/>
    </row>
    <row r="133" spans="2:94" x14ac:dyDescent="0.25">
      <c r="B133" s="281">
        <v>3759</v>
      </c>
      <c r="C133" s="1" t="s">
        <v>507</v>
      </c>
      <c r="D133" s="283">
        <f>+insumos!$G$284</f>
        <v>1.1352416613292604</v>
      </c>
      <c r="E133" s="284"/>
      <c r="F133" s="285"/>
      <c r="G133" s="26" t="s">
        <v>697</v>
      </c>
      <c r="H133" s="30" t="s">
        <v>698</v>
      </c>
      <c r="I133" s="283">
        <f>insumos!H24*9</f>
        <v>1.989</v>
      </c>
      <c r="J133" s="284"/>
      <c r="K133" s="285"/>
      <c r="L133" s="26" t="s">
        <v>787</v>
      </c>
      <c r="M133" s="1" t="s">
        <v>788</v>
      </c>
      <c r="N133" s="283">
        <f>insumos!$H$64*12</f>
        <v>1.296</v>
      </c>
      <c r="O133" s="291"/>
      <c r="Q133" s="297"/>
      <c r="R133" s="298" t="s">
        <v>5</v>
      </c>
      <c r="S133" s="299">
        <f>SUM(S124:S132)</f>
        <v>3.321389089826014</v>
      </c>
      <c r="T133" s="245"/>
      <c r="V133" s="311"/>
      <c r="W133" s="307" t="s">
        <v>604</v>
      </c>
      <c r="X133" s="308">
        <f>X132*1.03</f>
        <v>0.05300770728941834</v>
      </c>
      <c r="Y133" s="245"/>
      <c r="AA133" s="26"/>
      <c r="AB133" s="30"/>
      <c r="AC133" s="283"/>
      <c r="AD133" s="1"/>
      <c r="AK133" s="292"/>
      <c r="AL133" s="279" t="s">
        <v>553</v>
      </c>
      <c r="AM133" s="293"/>
      <c r="AN133" s="245"/>
      <c r="AZ133" s="281">
        <v>3636</v>
      </c>
      <c r="BA133" s="282" t="s">
        <v>550</v>
      </c>
      <c r="BB133" s="283">
        <f>+insumos!$H$121</f>
        <v>0.0445</v>
      </c>
      <c r="BC133" s="284"/>
      <c r="BE133" s="281">
        <v>3636</v>
      </c>
      <c r="BF133" s="282" t="s">
        <v>550</v>
      </c>
      <c r="BG133" s="283">
        <f>+insumos!$H$121</f>
        <v>0.0445</v>
      </c>
      <c r="BH133" s="284"/>
      <c r="BY133" s="281">
        <v>4653</v>
      </c>
      <c r="BZ133" s="282" t="s">
        <v>525</v>
      </c>
      <c r="CA133" s="283">
        <f>insumos!$H$254*4</f>
        <v>0.7456238442293049</v>
      </c>
      <c r="CB133" s="284" t="s">
        <v>531</v>
      </c>
      <c r="CD133" s="292"/>
      <c r="CE133" s="279" t="s">
        <v>553</v>
      </c>
      <c r="CF133" s="293"/>
      <c r="CG133" s="284"/>
      <c r="CI133" s="281">
        <v>3636</v>
      </c>
      <c r="CJ133" s="282" t="s">
        <v>550</v>
      </c>
      <c r="CK133" s="283">
        <f>+insumos!$H$121</f>
        <v>0.0445</v>
      </c>
      <c r="CN133" s="292"/>
      <c r="CO133" s="279" t="s">
        <v>553</v>
      </c>
      <c r="CP133" s="293"/>
    </row>
    <row r="134" spans="2:100" x14ac:dyDescent="0.25">
      <c r="B134" s="281">
        <v>4653</v>
      </c>
      <c r="C134" s="282" t="s">
        <v>525</v>
      </c>
      <c r="D134" s="283">
        <f>insumos!$H$254*2</f>
        <v>0.37281192211465247</v>
      </c>
      <c r="E134" s="284" t="s">
        <v>532</v>
      </c>
      <c r="F134" s="285"/>
      <c r="G134" s="26" t="s">
        <v>566</v>
      </c>
      <c r="H134" s="30" t="s">
        <v>567</v>
      </c>
      <c r="I134" s="283">
        <f>insumos!$H$113*9</f>
        <v>0.24308508475954307</v>
      </c>
      <c r="J134" s="300" t="s">
        <v>579</v>
      </c>
      <c r="K134" s="291"/>
      <c r="L134" s="26" t="s">
        <v>566</v>
      </c>
      <c r="M134" s="30" t="s">
        <v>567</v>
      </c>
      <c r="N134" s="283">
        <f>insumos!$H$113*12</f>
        <v>0.32411344634605743</v>
      </c>
      <c r="O134" s="291" t="s">
        <v>568</v>
      </c>
      <c r="Q134" s="281"/>
      <c r="R134" s="282" t="s">
        <v>587</v>
      </c>
      <c r="S134" s="304">
        <f>196814.46/11019</f>
        <v>17.861372175333514</v>
      </c>
      <c r="T134" s="245"/>
      <c r="AA134" s="26"/>
      <c r="AB134" s="30"/>
      <c r="AC134" s="283"/>
      <c r="AD134" s="1"/>
      <c r="AK134" s="26" t="s">
        <v>789</v>
      </c>
      <c r="AL134" s="30" t="s">
        <v>790</v>
      </c>
      <c r="AM134" s="283">
        <f>insumos!$I$31*4</f>
        <v>0.26</v>
      </c>
      <c r="AN134" s="1" t="s">
        <v>531</v>
      </c>
      <c r="AZ134" s="292"/>
      <c r="BA134" s="279" t="s">
        <v>553</v>
      </c>
      <c r="BB134" s="293"/>
      <c r="BC134" s="284"/>
      <c r="BE134" s="292"/>
      <c r="BF134" s="279" t="s">
        <v>553</v>
      </c>
      <c r="BG134" s="293"/>
      <c r="BH134" s="284"/>
      <c r="BY134" s="281">
        <v>4541</v>
      </c>
      <c r="BZ134" s="282" t="s">
        <v>529</v>
      </c>
      <c r="CA134" s="283">
        <f>insumos!$H$43</f>
        <v>0.022058823529411766</v>
      </c>
      <c r="CB134" s="245"/>
      <c r="CD134" s="26" t="s">
        <v>566</v>
      </c>
      <c r="CE134" s="30" t="s">
        <v>567</v>
      </c>
      <c r="CF134" s="283">
        <f>insumos!$H$113*12</f>
        <v>0.32411344634605743</v>
      </c>
      <c r="CG134" s="296" t="s">
        <v>568</v>
      </c>
      <c r="CI134" s="294"/>
      <c r="CJ134" s="279" t="s">
        <v>553</v>
      </c>
      <c r="CK134" s="295"/>
      <c r="CN134" s="281">
        <v>6208</v>
      </c>
      <c r="CO134" s="282" t="s">
        <v>573</v>
      </c>
      <c r="CP134" s="283">
        <f>insumos!$H$188*12</f>
        <v>1.0929882352941176</v>
      </c>
      <c r="CQ134" s="300" t="s">
        <v>568</v>
      </c>
      <c r="CS134" s="263">
        <v>6173013</v>
      </c>
      <c r="CT134" s="264" t="s">
        <v>780</v>
      </c>
      <c r="CU134" s="267"/>
      <c r="CV134" s="269"/>
    </row>
    <row r="135" spans="2:100" x14ac:dyDescent="0.25">
      <c r="B135" s="281">
        <v>4541</v>
      </c>
      <c r="C135" s="282" t="s">
        <v>528</v>
      </c>
      <c r="D135" s="283">
        <f>insumos!$H$43</f>
        <v>0.022058823529411766</v>
      </c>
      <c r="E135" s="284"/>
      <c r="F135" s="285"/>
      <c r="G135" s="297"/>
      <c r="H135" s="298" t="s">
        <v>5</v>
      </c>
      <c r="I135" s="299">
        <f>SUM(I126:I134)</f>
        <v>4.432435308362667</v>
      </c>
      <c r="J135" s="300" t="s">
        <v>579</v>
      </c>
      <c r="K135" s="291"/>
      <c r="L135" s="297"/>
      <c r="M135" s="303" t="s">
        <v>5</v>
      </c>
      <c r="N135" s="299">
        <f>SUM(N126:N134)</f>
        <v>3.778089724784171</v>
      </c>
      <c r="O135" s="245"/>
      <c r="Q135" s="281"/>
      <c r="R135" s="307" t="s">
        <v>599</v>
      </c>
      <c r="S135" s="308">
        <f>+S133/S134</f>
        <v>0.18595374740653126</v>
      </c>
      <c r="T135" s="245"/>
      <c r="V135" s="263">
        <v>993116</v>
      </c>
      <c r="W135" s="264" t="s">
        <v>469</v>
      </c>
      <c r="X135" s="265"/>
      <c r="Y135" s="266"/>
      <c r="AA135" s="297"/>
      <c r="AB135" s="298" t="s">
        <v>5</v>
      </c>
      <c r="AC135" s="299">
        <f>SUM(AC126:AC134)</f>
        <v>1.3723890898260136</v>
      </c>
      <c r="AD135" s="245"/>
      <c r="AK135" s="26" t="s">
        <v>566</v>
      </c>
      <c r="AL135" s="30" t="s">
        <v>567</v>
      </c>
      <c r="AM135" s="283">
        <f>insumos!$H$113*4</f>
        <v>0.1080378154486858</v>
      </c>
      <c r="AN135" s="1" t="s">
        <v>531</v>
      </c>
      <c r="AZ135" s="26" t="s">
        <v>566</v>
      </c>
      <c r="BA135" s="30" t="s">
        <v>567</v>
      </c>
      <c r="BB135" s="283">
        <f>insumos!$H$113*6</f>
        <v>0.16205672317302872</v>
      </c>
      <c r="BC135" s="300" t="s">
        <v>662</v>
      </c>
      <c r="BE135" s="26" t="s">
        <v>566</v>
      </c>
      <c r="BF135" s="30" t="s">
        <v>567</v>
      </c>
      <c r="BG135" s="283">
        <f>insumos!$H$113*5</f>
        <v>0.13504726931085725</v>
      </c>
      <c r="BH135" s="300" t="s">
        <v>652</v>
      </c>
      <c r="BY135" s="26">
        <v>3817</v>
      </c>
      <c r="BZ135" s="243" t="s">
        <v>524</v>
      </c>
      <c r="CA135" s="289">
        <f>insumos!$I$103*1.8</f>
        <v>0.02088</v>
      </c>
      <c r="CB135" s="1" t="s">
        <v>538</v>
      </c>
      <c r="CD135" s="281">
        <v>6229</v>
      </c>
      <c r="CE135" s="30" t="s">
        <v>588</v>
      </c>
      <c r="CF135" s="283">
        <f>insumos!$I$265*12</f>
        <v>0.25825519982429496</v>
      </c>
      <c r="CG135" s="296" t="s">
        <v>568</v>
      </c>
      <c r="CI135" s="26" t="s">
        <v>566</v>
      </c>
      <c r="CJ135" s="30" t="s">
        <v>567</v>
      </c>
      <c r="CK135" s="283">
        <f>insumos!$H$113*9</f>
        <v>0.24308508475954307</v>
      </c>
      <c r="CL135" s="300" t="s">
        <v>579</v>
      </c>
      <c r="CN135" s="281">
        <v>5202</v>
      </c>
      <c r="CO135" s="282" t="s">
        <v>586</v>
      </c>
      <c r="CP135" s="283">
        <f>insumos!$H$114*12</f>
        <v>0.3161371428571429</v>
      </c>
      <c r="CQ135" s="300" t="s">
        <v>568</v>
      </c>
      <c r="CS135" s="275" t="s">
        <v>492</v>
      </c>
      <c r="CT135" s="276" t="s">
        <v>495</v>
      </c>
      <c r="CU135" s="275" t="s">
        <v>467</v>
      </c>
      <c r="CV135" s="269"/>
    </row>
    <row r="136" spans="2:100" x14ac:dyDescent="0.25">
      <c r="B136" s="26">
        <v>3817</v>
      </c>
      <c r="C136" s="243" t="s">
        <v>524</v>
      </c>
      <c r="D136" s="289">
        <f>insumos!$I$103*1.8</f>
        <v>0.02088</v>
      </c>
      <c r="E136" s="290" t="s">
        <v>537</v>
      </c>
      <c r="F136" s="285"/>
      <c r="G136" s="281"/>
      <c r="H136" s="282" t="s">
        <v>587</v>
      </c>
      <c r="I136" s="281">
        <v>21.8</v>
      </c>
      <c r="J136" s="269"/>
      <c r="K136" s="245"/>
      <c r="L136" s="281"/>
      <c r="M136" s="286" t="s">
        <v>587</v>
      </c>
      <c r="N136" s="304">
        <f>19921.32/1211</f>
        <v>16.450305532617673</v>
      </c>
      <c r="O136" s="245"/>
      <c r="Q136" s="311"/>
      <c r="R136" s="307" t="s">
        <v>604</v>
      </c>
      <c r="S136" s="308">
        <f>S135*1.03</f>
        <v>0.1915323598287272</v>
      </c>
      <c r="V136" s="275" t="s">
        <v>492</v>
      </c>
      <c r="W136" s="277" t="s">
        <v>495</v>
      </c>
      <c r="X136" s="275" t="s">
        <v>467</v>
      </c>
      <c r="Y136" s="245"/>
      <c r="AA136" s="281"/>
      <c r="AB136" s="282" t="s">
        <v>587</v>
      </c>
      <c r="AC136" s="304">
        <f>11804.92/516</f>
        <v>22.877751937984495</v>
      </c>
      <c r="AD136" s="245"/>
      <c r="AK136" s="297"/>
      <c r="AL136" s="298" t="s">
        <v>5</v>
      </c>
      <c r="AM136" s="299">
        <f>SUM(AM127:AM135)</f>
        <v>2.273388039051809</v>
      </c>
      <c r="AN136" s="245"/>
      <c r="AZ136" s="26" t="s">
        <v>594</v>
      </c>
      <c r="BA136" s="30" t="s">
        <v>595</v>
      </c>
      <c r="BB136" s="283">
        <f>insumos!H76*6</f>
        <v>1.2384041666666668</v>
      </c>
      <c r="BC136" s="300" t="s">
        <v>662</v>
      </c>
      <c r="BE136" s="26" t="s">
        <v>558</v>
      </c>
      <c r="BF136" s="30" t="s">
        <v>559</v>
      </c>
      <c r="BG136" s="283">
        <f>insumos!$H$65*5</f>
        <v>0.6899989855513528</v>
      </c>
      <c r="BH136" s="300" t="s">
        <v>652</v>
      </c>
      <c r="BY136" s="26">
        <v>2173</v>
      </c>
      <c r="BZ136" s="243" t="s">
        <v>536</v>
      </c>
      <c r="CA136" s="289">
        <f>+insumos!$H$149*2</f>
        <v>0.0349502662966019</v>
      </c>
      <c r="CB136" s="1" t="s">
        <v>547</v>
      </c>
      <c r="CD136" s="281">
        <v>6254</v>
      </c>
      <c r="CE136" s="30" t="s">
        <v>600</v>
      </c>
      <c r="CF136" s="283">
        <f>+insumos!$I$208*12</f>
        <v>0.5334893983701396</v>
      </c>
      <c r="CG136" s="296" t="s">
        <v>568</v>
      </c>
      <c r="CI136" s="281">
        <v>6229</v>
      </c>
      <c r="CJ136" s="30" t="s">
        <v>588</v>
      </c>
      <c r="CK136" s="283">
        <f>insumos!$I$265*9</f>
        <v>0.19369139986822123</v>
      </c>
      <c r="CL136" s="300" t="s">
        <v>579</v>
      </c>
      <c r="CN136" s="281">
        <v>6229</v>
      </c>
      <c r="CO136" s="30" t="s">
        <v>588</v>
      </c>
      <c r="CP136" s="283">
        <f>insumos!$I$265*12</f>
        <v>0.25825519982429496</v>
      </c>
      <c r="CQ136" s="300" t="s">
        <v>568</v>
      </c>
      <c r="CS136" s="278"/>
      <c r="CT136" s="279" t="s">
        <v>134</v>
      </c>
      <c r="CU136" s="278"/>
      <c r="CV136" s="269"/>
    </row>
    <row r="137" spans="2:100" x14ac:dyDescent="0.25">
      <c r="B137" s="26">
        <v>2173</v>
      </c>
      <c r="C137" s="243" t="s">
        <v>536</v>
      </c>
      <c r="D137" s="289">
        <f>+insumos!$H$149*2</f>
        <v>0.0349502662966019</v>
      </c>
      <c r="E137" s="291" t="s">
        <v>547</v>
      </c>
      <c r="F137" s="290"/>
      <c r="G137" s="281"/>
      <c r="H137" s="307" t="s">
        <v>599</v>
      </c>
      <c r="I137" s="308">
        <f>+I135/I136</f>
        <v>0.2033227205670948</v>
      </c>
      <c r="J137" s="269"/>
      <c r="K137" s="245"/>
      <c r="L137" s="281"/>
      <c r="M137" s="310" t="s">
        <v>599</v>
      </c>
      <c r="N137" s="308">
        <f>+N135/N136</f>
        <v>0.2296668421928683</v>
      </c>
      <c r="O137" s="245"/>
      <c r="V137" s="278"/>
      <c r="W137" s="280" t="s">
        <v>134</v>
      </c>
      <c r="X137" s="278"/>
      <c r="Y137" s="245"/>
      <c r="AA137" s="281"/>
      <c r="AB137" s="307" t="s">
        <v>599</v>
      </c>
      <c r="AC137" s="308">
        <f>+AC135/AC136</f>
        <v>0.05998793472130459</v>
      </c>
      <c r="AD137" s="245"/>
      <c r="AK137" s="281"/>
      <c r="AL137" s="282" t="s">
        <v>587</v>
      </c>
      <c r="AM137" s="304">
        <f>38748.62/2093</f>
        <v>18.513435260391784</v>
      </c>
      <c r="AN137" s="245"/>
      <c r="AZ137" s="281"/>
      <c r="BA137" s="30"/>
      <c r="BB137" s="283"/>
      <c r="BC137" s="300"/>
      <c r="BE137" s="281"/>
      <c r="BF137" s="30"/>
      <c r="BG137" s="283"/>
      <c r="BH137" s="300"/>
      <c r="BY137" s="281">
        <v>3636</v>
      </c>
      <c r="BZ137" s="282" t="s">
        <v>550</v>
      </c>
      <c r="CA137" s="283">
        <f>+insumos!$H$121</f>
        <v>0.0445</v>
      </c>
      <c r="CD137" s="26" t="s">
        <v>606</v>
      </c>
      <c r="CE137" s="30" t="s">
        <v>607</v>
      </c>
      <c r="CF137" s="283">
        <f>insumos!$H$197*12</f>
        <v>1.7449411764705882</v>
      </c>
      <c r="CG137" s="296" t="s">
        <v>568</v>
      </c>
      <c r="CI137" s="281">
        <v>6254</v>
      </c>
      <c r="CJ137" s="30" t="s">
        <v>600</v>
      </c>
      <c r="CK137" s="283">
        <f>+insumos!$I$208*9</f>
        <v>0.40011704877760473</v>
      </c>
      <c r="CL137" s="300" t="s">
        <v>579</v>
      </c>
      <c r="CN137" s="281">
        <v>6254</v>
      </c>
      <c r="CO137" s="30" t="s">
        <v>600</v>
      </c>
      <c r="CP137" s="283">
        <f>+insumos!$I$208*12</f>
        <v>0.5334893983701396</v>
      </c>
      <c r="CQ137" s="300" t="s">
        <v>568</v>
      </c>
      <c r="CS137" s="281">
        <v>3741</v>
      </c>
      <c r="CT137" s="282" t="s">
        <v>500</v>
      </c>
      <c r="CU137" s="283">
        <f>insumos!$G$213</f>
        <v>0.8355871886120997</v>
      </c>
      <c r="CV137" s="284"/>
    </row>
    <row r="138" spans="2:100" x14ac:dyDescent="0.25">
      <c r="B138" s="281">
        <v>3636</v>
      </c>
      <c r="C138" s="282" t="s">
        <v>550</v>
      </c>
      <c r="D138" s="283">
        <f>+insumos!$H$121</f>
        <v>0.0445</v>
      </c>
      <c r="E138" s="284"/>
      <c r="F138" s="291"/>
      <c r="G138" s="311"/>
      <c r="H138" s="307" t="s">
        <v>604</v>
      </c>
      <c r="I138" s="308">
        <f>I137*1.03</f>
        <v>0.20942240218410765</v>
      </c>
      <c r="J138" s="269"/>
      <c r="K138" s="245"/>
      <c r="L138" s="311"/>
      <c r="M138" s="310" t="s">
        <v>604</v>
      </c>
      <c r="N138" s="308">
        <f>N137*1.03</f>
        <v>0.23655684745865435</v>
      </c>
      <c r="O138" s="245"/>
      <c r="Q138" s="263">
        <v>998026</v>
      </c>
      <c r="R138" s="264" t="s">
        <v>705</v>
      </c>
      <c r="S138" s="267"/>
      <c r="T138" s="245"/>
      <c r="V138" s="281">
        <v>5524</v>
      </c>
      <c r="W138" s="1" t="s">
        <v>501</v>
      </c>
      <c r="X138" s="283">
        <f>insumos!$H$217</f>
        <v>0.8950000000000001</v>
      </c>
      <c r="Y138" s="285"/>
      <c r="AA138" s="311"/>
      <c r="AB138" s="307" t="s">
        <v>604</v>
      </c>
      <c r="AC138" s="308">
        <f>AC137*1.03</f>
        <v>0.061787572762943735</v>
      </c>
      <c r="AD138" s="245"/>
      <c r="AK138" s="281"/>
      <c r="AL138" s="307" t="s">
        <v>599</v>
      </c>
      <c r="AM138" s="308">
        <f>+AM136/AM137</f>
        <v>0.12279666129362635</v>
      </c>
      <c r="AN138" s="245"/>
      <c r="AZ138" s="26"/>
      <c r="BA138" s="30"/>
      <c r="BB138" s="283"/>
      <c r="BC138" s="300"/>
      <c r="BE138" s="26" t="s">
        <v>608</v>
      </c>
      <c r="BF138" s="30" t="s">
        <v>609</v>
      </c>
      <c r="BG138" s="283">
        <f>insumos!$H$176*5</f>
        <v>0.27</v>
      </c>
      <c r="BH138" s="300" t="s">
        <v>652</v>
      </c>
      <c r="BY138" s="294"/>
      <c r="BZ138" s="279" t="s">
        <v>553</v>
      </c>
      <c r="CA138" s="295"/>
      <c r="CD138" s="297"/>
      <c r="CE138" s="298" t="s">
        <v>5</v>
      </c>
      <c r="CF138" s="299">
        <f>SUM(CF126:CF137)</f>
        <v>5.494716312658788</v>
      </c>
      <c r="CG138" s="300"/>
      <c r="CI138" s="26" t="s">
        <v>675</v>
      </c>
      <c r="CJ138" s="30" t="s">
        <v>676</v>
      </c>
      <c r="CK138" s="283">
        <f>insumos!$H$194*9</f>
        <v>1.8</v>
      </c>
      <c r="CL138" s="300" t="s">
        <v>579</v>
      </c>
      <c r="CN138" s="281">
        <v>5868</v>
      </c>
      <c r="CO138" s="30" t="s">
        <v>605</v>
      </c>
      <c r="CP138" s="283">
        <f>insumos!$I$243*12</f>
        <v>0.22752</v>
      </c>
      <c r="CQ138" s="300" t="s">
        <v>568</v>
      </c>
      <c r="CS138" s="26" t="s">
        <v>515</v>
      </c>
      <c r="CT138" s="30" t="s">
        <v>516</v>
      </c>
      <c r="CU138" s="283">
        <f>+insumos!$G$283</f>
        <v>1.1</v>
      </c>
      <c r="CV138" s="284"/>
    </row>
    <row r="139" spans="2:100" x14ac:dyDescent="0.25">
      <c r="B139" s="292"/>
      <c r="C139" s="279" t="s">
        <v>553</v>
      </c>
      <c r="D139" s="293"/>
      <c r="E139" s="284"/>
      <c r="F139" s="285"/>
      <c r="G139" s="285"/>
      <c r="H139" s="285"/>
      <c r="I139" s="285"/>
      <c r="J139" s="269"/>
      <c r="K139" s="245"/>
      <c r="L139" s="245"/>
      <c r="M139" s="245"/>
      <c r="N139" s="245"/>
      <c r="O139" s="245"/>
      <c r="Q139" s="275" t="s">
        <v>492</v>
      </c>
      <c r="R139" s="276" t="s">
        <v>495</v>
      </c>
      <c r="S139" s="275" t="s">
        <v>467</v>
      </c>
      <c r="T139" s="245"/>
      <c r="V139" s="281">
        <v>5523</v>
      </c>
      <c r="W139" s="286" t="s">
        <v>508</v>
      </c>
      <c r="X139" s="283">
        <f>+insumos!$H$285</f>
        <v>1.1829611337771098</v>
      </c>
      <c r="Y139" s="285"/>
      <c r="AK139" s="311"/>
      <c r="AL139" s="307" t="s">
        <v>604</v>
      </c>
      <c r="AM139" s="308">
        <f>AM138*1.03</f>
        <v>0.12648056113243514</v>
      </c>
      <c r="AN139" s="245"/>
      <c r="AZ139" s="297"/>
      <c r="BA139" s="298" t="s">
        <v>5</v>
      </c>
      <c r="BB139" s="299">
        <f>SUM(BB127:BB138)</f>
        <v>3.8443781025744013</v>
      </c>
      <c r="BC139" s="300"/>
      <c r="BE139" s="297"/>
      <c r="BF139" s="298" t="s">
        <v>5</v>
      </c>
      <c r="BG139" s="299">
        <f>SUM(BG127:BG138)</f>
        <v>3.6589048862415</v>
      </c>
      <c r="BH139" s="300"/>
      <c r="BY139" s="26" t="s">
        <v>663</v>
      </c>
      <c r="BZ139" s="30" t="s">
        <v>664</v>
      </c>
      <c r="CA139" s="31">
        <f>insumos!$H$183*12</f>
        <v>1.1270553672316383</v>
      </c>
      <c r="CB139" s="296" t="s">
        <v>568</v>
      </c>
      <c r="CD139" s="281"/>
      <c r="CE139" s="282" t="s">
        <v>587</v>
      </c>
      <c r="CF139" s="304">
        <v>6.24</v>
      </c>
      <c r="CG139" s="269"/>
      <c r="CI139" s="297"/>
      <c r="CJ139" s="298" t="s">
        <v>5</v>
      </c>
      <c r="CK139" s="299">
        <f>SUM(CK127:CK138)</f>
        <v>5.754087695015461</v>
      </c>
      <c r="CN139" s="297"/>
      <c r="CO139" s="298" t="s">
        <v>5</v>
      </c>
      <c r="CP139" s="299">
        <f>SUM(CP126:CP138)</f>
        <v>5.1987398366878255</v>
      </c>
      <c r="CQ139" s="245"/>
      <c r="CS139" s="281">
        <v>4986</v>
      </c>
      <c r="CT139" s="30" t="s">
        <v>530</v>
      </c>
      <c r="CU139" s="283">
        <f>insumos!$H$255*3</f>
        <v>0.5699996367390061</v>
      </c>
      <c r="CV139" s="284" t="s">
        <v>526</v>
      </c>
    </row>
    <row r="140" spans="2:100" x14ac:dyDescent="0.25">
      <c r="B140" s="281">
        <v>6276</v>
      </c>
      <c r="C140" s="282" t="s">
        <v>573</v>
      </c>
      <c r="D140" s="283">
        <f>insumos!H161*12</f>
        <v>1.1760000000000002</v>
      </c>
      <c r="E140" s="300" t="s">
        <v>568</v>
      </c>
      <c r="F140" s="245"/>
      <c r="G140" s="263">
        <v>437330</v>
      </c>
      <c r="H140" s="264" t="s">
        <v>791</v>
      </c>
      <c r="I140" s="267"/>
      <c r="L140" s="263">
        <v>436132</v>
      </c>
      <c r="M140" s="264" t="s">
        <v>792</v>
      </c>
      <c r="N140" s="265"/>
      <c r="O140" s="245"/>
      <c r="Q140" s="278"/>
      <c r="R140" s="279" t="s">
        <v>134</v>
      </c>
      <c r="S140" s="278"/>
      <c r="T140" s="245"/>
      <c r="V140" s="281">
        <v>4542</v>
      </c>
      <c r="W140" s="286" t="s">
        <v>527</v>
      </c>
      <c r="X140" s="283">
        <f>insumos!$I$35</f>
        <v>0.022058823529411763</v>
      </c>
      <c r="Y140" s="285"/>
      <c r="AA140" s="263">
        <v>991090</v>
      </c>
      <c r="AB140" s="264" t="s">
        <v>793</v>
      </c>
      <c r="AC140" s="267"/>
      <c r="AD140" s="245"/>
      <c r="AZ140" s="281"/>
      <c r="BA140" s="282" t="s">
        <v>587</v>
      </c>
      <c r="BB140" s="304">
        <f>1979.78/374</f>
        <v>5.293529411764705</v>
      </c>
      <c r="BC140" s="269"/>
      <c r="BE140" s="281"/>
      <c r="BF140" s="282" t="s">
        <v>587</v>
      </c>
      <c r="BG140" s="304">
        <f>373.84/45</f>
        <v>8.307555555555554</v>
      </c>
      <c r="BH140" s="269"/>
      <c r="BY140" s="281">
        <v>5202</v>
      </c>
      <c r="BZ140" s="282" t="s">
        <v>586</v>
      </c>
      <c r="CA140" s="31">
        <f>insumos!$H$114*12</f>
        <v>0.3161371428571429</v>
      </c>
      <c r="CB140" s="296" t="s">
        <v>568</v>
      </c>
      <c r="CD140" s="281"/>
      <c r="CE140" s="307" t="s">
        <v>599</v>
      </c>
      <c r="CF140" s="308">
        <f>+CF138/CF139</f>
        <v>0.8805635116440366</v>
      </c>
      <c r="CG140" s="269"/>
      <c r="CI140" s="281"/>
      <c r="CJ140" s="282" t="s">
        <v>587</v>
      </c>
      <c r="CK140" s="304">
        <v>4.8</v>
      </c>
      <c r="CL140" s="245"/>
      <c r="CN140" s="281"/>
      <c r="CO140" s="282" t="s">
        <v>587</v>
      </c>
      <c r="CP140" s="304">
        <v>11.11</v>
      </c>
      <c r="CQ140" s="269"/>
      <c r="CS140" s="26" t="s">
        <v>539</v>
      </c>
      <c r="CT140" s="30" t="s">
        <v>540</v>
      </c>
      <c r="CU140" s="283">
        <f>insumos!$H$45</f>
        <v>0.028</v>
      </c>
      <c r="CV140" s="284"/>
    </row>
    <row r="141" spans="2:100" x14ac:dyDescent="0.25">
      <c r="B141" s="281">
        <v>5202</v>
      </c>
      <c r="C141" s="282" t="s">
        <v>586</v>
      </c>
      <c r="D141" s="283">
        <f>insumos!$H$114*12</f>
        <v>0.3161371428571429</v>
      </c>
      <c r="E141" s="300" t="s">
        <v>568</v>
      </c>
      <c r="F141" s="296"/>
      <c r="G141" s="275" t="s">
        <v>492</v>
      </c>
      <c r="H141" s="276" t="s">
        <v>495</v>
      </c>
      <c r="I141" s="275" t="s">
        <v>467</v>
      </c>
      <c r="J141" s="269"/>
      <c r="K141" s="245"/>
      <c r="L141" s="275" t="s">
        <v>492</v>
      </c>
      <c r="M141" s="277" t="s">
        <v>495</v>
      </c>
      <c r="N141" s="275" t="s">
        <v>467</v>
      </c>
      <c r="O141" s="245"/>
      <c r="Q141" s="281">
        <v>6184</v>
      </c>
      <c r="R141" s="1" t="s">
        <v>502</v>
      </c>
      <c r="S141" s="283">
        <f>insumos!$H$215</f>
        <v>0.6</v>
      </c>
      <c r="T141" s="245"/>
      <c r="V141" s="26">
        <v>3817</v>
      </c>
      <c r="W141" s="288" t="s">
        <v>524</v>
      </c>
      <c r="X141" s="289">
        <f>insumos!$I$103*1.8</f>
        <v>0.02088</v>
      </c>
      <c r="Y141" s="290" t="s">
        <v>537</v>
      </c>
      <c r="AA141" s="275" t="s">
        <v>492</v>
      </c>
      <c r="AB141" s="276" t="s">
        <v>495</v>
      </c>
      <c r="AC141" s="275" t="s">
        <v>467</v>
      </c>
      <c r="AD141" s="245"/>
      <c r="AK141" s="263">
        <v>1987317</v>
      </c>
      <c r="AL141" s="264" t="s">
        <v>794</v>
      </c>
      <c r="AM141" s="267"/>
      <c r="AN141" s="245"/>
      <c r="AZ141" s="281"/>
      <c r="BA141" s="307" t="s">
        <v>599</v>
      </c>
      <c r="BB141" s="308">
        <f>+BB139/BB140</f>
        <v>0.726241001708688</v>
      </c>
      <c r="BC141" s="269"/>
      <c r="BE141" s="281"/>
      <c r="BF141" s="307" t="s">
        <v>599</v>
      </c>
      <c r="BG141" s="308">
        <f>+BG139/BG140</f>
        <v>0.44043098619962423</v>
      </c>
      <c r="BH141" s="269"/>
      <c r="BY141" s="281">
        <v>6229</v>
      </c>
      <c r="BZ141" s="30" t="s">
        <v>588</v>
      </c>
      <c r="CA141" s="31">
        <f>insumos!$I$265*12</f>
        <v>0.25825519982429496</v>
      </c>
      <c r="CB141" s="296" t="s">
        <v>568</v>
      </c>
      <c r="CD141" s="311"/>
      <c r="CE141" s="307" t="s">
        <v>604</v>
      </c>
      <c r="CF141" s="308">
        <f>CF140*1.03</f>
        <v>0.9069804169933577</v>
      </c>
      <c r="CG141" s="269"/>
      <c r="CI141" s="281"/>
      <c r="CJ141" s="307" t="s">
        <v>599</v>
      </c>
      <c r="CK141" s="308">
        <f>+CK139/CK140</f>
        <v>1.1987682697948878</v>
      </c>
      <c r="CL141" s="269"/>
      <c r="CN141" s="281"/>
      <c r="CO141" s="307" t="s">
        <v>599</v>
      </c>
      <c r="CP141" s="308">
        <f>+CP139/CP140</f>
        <v>0.4679333786397683</v>
      </c>
      <c r="CQ141" s="269"/>
      <c r="CS141" s="26">
        <v>3817</v>
      </c>
      <c r="CT141" s="243" t="s">
        <v>524</v>
      </c>
      <c r="CU141" s="289">
        <f>insumos!$I$103*1.8</f>
        <v>0.02088</v>
      </c>
      <c r="CV141" s="290" t="s">
        <v>537</v>
      </c>
    </row>
    <row r="142" spans="2:100" x14ac:dyDescent="0.25">
      <c r="B142" s="281">
        <v>6229</v>
      </c>
      <c r="C142" s="30" t="s">
        <v>588</v>
      </c>
      <c r="D142" s="283">
        <f>insumos!$I$265*12</f>
        <v>0.25825519982429496</v>
      </c>
      <c r="E142" s="300" t="s">
        <v>568</v>
      </c>
      <c r="F142" s="296"/>
      <c r="G142" s="278"/>
      <c r="H142" s="279" t="s">
        <v>134</v>
      </c>
      <c r="I142" s="278"/>
      <c r="J142" s="269"/>
      <c r="K142" s="245"/>
      <c r="L142" s="278"/>
      <c r="M142" s="280" t="s">
        <v>134</v>
      </c>
      <c r="N142" s="278"/>
      <c r="O142" s="245"/>
      <c r="Q142" s="281">
        <v>2037</v>
      </c>
      <c r="R142" s="282" t="s">
        <v>511</v>
      </c>
      <c r="S142" s="283">
        <f>+insumos!$H$268</f>
        <v>0.65</v>
      </c>
      <c r="T142" s="245"/>
      <c r="V142" s="26">
        <v>2173</v>
      </c>
      <c r="W142" s="288" t="s">
        <v>536</v>
      </c>
      <c r="X142" s="289">
        <f>+insumos!$H$149*2</f>
        <v>0.0349502662966019</v>
      </c>
      <c r="Y142" s="291" t="s">
        <v>547</v>
      </c>
      <c r="AA142" s="278"/>
      <c r="AB142" s="279" t="s">
        <v>134</v>
      </c>
      <c r="AC142" s="278"/>
      <c r="AD142" s="245"/>
      <c r="AK142" s="275" t="s">
        <v>492</v>
      </c>
      <c r="AL142" s="276" t="s">
        <v>495</v>
      </c>
      <c r="AM142" s="275" t="s">
        <v>467</v>
      </c>
      <c r="AN142" s="245"/>
      <c r="AZ142" s="311"/>
      <c r="BA142" s="307" t="s">
        <v>604</v>
      </c>
      <c r="BB142" s="308">
        <f>BB141*1.03</f>
        <v>0.7480282317599487</v>
      </c>
      <c r="BC142" s="269"/>
      <c r="BE142" s="311"/>
      <c r="BF142" s="307" t="s">
        <v>604</v>
      </c>
      <c r="BG142" s="308">
        <f>BG141*1.03</f>
        <v>0.453643915785613</v>
      </c>
      <c r="BH142" s="269"/>
      <c r="BY142" s="281">
        <v>6254</v>
      </c>
      <c r="BZ142" s="30" t="s">
        <v>600</v>
      </c>
      <c r="CA142" s="31">
        <f>+insumos!$I$208*12</f>
        <v>0.5334893983701396</v>
      </c>
      <c r="CB142" s="296" t="s">
        <v>568</v>
      </c>
      <c r="CI142" s="311"/>
      <c r="CJ142" s="307" t="s">
        <v>604</v>
      </c>
      <c r="CK142" s="308">
        <f>CK141*1.03</f>
        <v>1.2347313178887345</v>
      </c>
      <c r="CL142" s="269"/>
      <c r="CN142" s="311"/>
      <c r="CO142" s="307" t="s">
        <v>604</v>
      </c>
      <c r="CP142" s="308">
        <f>CP141*1.03</f>
        <v>0.4819713799989614</v>
      </c>
      <c r="CQ142" s="245"/>
      <c r="CS142" s="26">
        <v>2173</v>
      </c>
      <c r="CT142" s="243" t="s">
        <v>536</v>
      </c>
      <c r="CU142" s="289">
        <f>+insumos!$H$149*2</f>
        <v>0.0349502662966019</v>
      </c>
      <c r="CV142" s="291" t="s">
        <v>547</v>
      </c>
    </row>
    <row r="143" spans="2:100" x14ac:dyDescent="0.25">
      <c r="B143" s="281">
        <v>6254</v>
      </c>
      <c r="C143" s="30" t="s">
        <v>600</v>
      </c>
      <c r="D143" s="283">
        <f>+insumos!$I$208*12</f>
        <v>0.5334893983701396</v>
      </c>
      <c r="E143" s="300" t="s">
        <v>568</v>
      </c>
      <c r="F143" s="296"/>
      <c r="G143" s="281">
        <v>5524</v>
      </c>
      <c r="H143" s="1" t="s">
        <v>501</v>
      </c>
      <c r="I143" s="283">
        <f>insumos!$H$217</f>
        <v>0.8950000000000001</v>
      </c>
      <c r="J143" s="269"/>
      <c r="K143" s="245"/>
      <c r="L143" s="281">
        <v>5524</v>
      </c>
      <c r="M143" s="1" t="s">
        <v>501</v>
      </c>
      <c r="N143" s="283">
        <f>insumos!$H$217</f>
        <v>0.8950000000000001</v>
      </c>
      <c r="O143" s="285"/>
      <c r="Q143" s="281">
        <v>4542</v>
      </c>
      <c r="R143" s="282" t="s">
        <v>527</v>
      </c>
      <c r="S143" s="283">
        <f>insumos!$I$35</f>
        <v>0.022058823529411763</v>
      </c>
      <c r="V143" s="281">
        <v>3636</v>
      </c>
      <c r="W143" s="286" t="s">
        <v>550</v>
      </c>
      <c r="X143" s="283">
        <f>+insumos!$H$121</f>
        <v>0.0445</v>
      </c>
      <c r="Y143" s="285"/>
      <c r="AA143" s="281">
        <v>6184</v>
      </c>
      <c r="AB143" s="1" t="s">
        <v>502</v>
      </c>
      <c r="AC143" s="283">
        <f>insumos!$H$215</f>
        <v>0.6</v>
      </c>
      <c r="AD143" s="245"/>
      <c r="AK143" s="278"/>
      <c r="AL143" s="279" t="s">
        <v>134</v>
      </c>
      <c r="AM143" s="278"/>
      <c r="AN143" s="245"/>
      <c r="BY143" s="297"/>
      <c r="BZ143" s="298" t="s">
        <v>5</v>
      </c>
      <c r="CA143" s="299">
        <v>8.03</v>
      </c>
      <c r="CD143" s="263">
        <v>4545931</v>
      </c>
      <c r="CE143" s="264" t="s">
        <v>795</v>
      </c>
      <c r="CF143" s="267"/>
      <c r="CG143" s="269"/>
      <c r="CS143" s="281">
        <v>3636</v>
      </c>
      <c r="CT143" s="282" t="s">
        <v>550</v>
      </c>
      <c r="CU143" s="283">
        <f>+insumos!$H$121</f>
        <v>0.0445</v>
      </c>
      <c r="CV143" s="284"/>
    </row>
    <row r="144" spans="2:100" x14ac:dyDescent="0.25">
      <c r="B144" s="281">
        <v>5868</v>
      </c>
      <c r="C144" s="30" t="s">
        <v>605</v>
      </c>
      <c r="D144" s="283">
        <f>insumos!$I$243*12</f>
        <v>0.22752</v>
      </c>
      <c r="E144" s="300" t="s">
        <v>568</v>
      </c>
      <c r="F144" s="296"/>
      <c r="G144" s="281">
        <v>5523</v>
      </c>
      <c r="H144" s="282" t="s">
        <v>508</v>
      </c>
      <c r="I144" s="283">
        <f>+insumos!$H$285</f>
        <v>1.1829611337771098</v>
      </c>
      <c r="J144" s="284"/>
      <c r="K144" s="285"/>
      <c r="L144" s="26" t="s">
        <v>513</v>
      </c>
      <c r="M144" s="30" t="s">
        <v>514</v>
      </c>
      <c r="N144" s="283">
        <f>+insumos!$H$266</f>
        <v>1.1500000000000001</v>
      </c>
      <c r="O144" s="285"/>
      <c r="Q144" s="26">
        <v>3817</v>
      </c>
      <c r="R144" s="243" t="s">
        <v>524</v>
      </c>
      <c r="S144" s="289">
        <f>insumos!$I$103*1.8</f>
        <v>0.02088</v>
      </c>
      <c r="T144" s="285" t="s">
        <v>538</v>
      </c>
      <c r="V144" s="292"/>
      <c r="W144" s="280" t="s">
        <v>553</v>
      </c>
      <c r="X144" s="293"/>
      <c r="Y144" s="285"/>
      <c r="AA144" s="281">
        <v>2037</v>
      </c>
      <c r="AB144" s="282" t="s">
        <v>511</v>
      </c>
      <c r="AC144" s="283">
        <f>+insumos!$H$268</f>
        <v>0.65</v>
      </c>
      <c r="AD144" s="245"/>
      <c r="AK144" s="281">
        <v>6184</v>
      </c>
      <c r="AL144" s="1" t="s">
        <v>502</v>
      </c>
      <c r="AM144" s="283">
        <f>insumos!$H$215</f>
        <v>0.6</v>
      </c>
      <c r="AN144" s="245"/>
      <c r="BE144" s="263">
        <v>443760</v>
      </c>
      <c r="BF144" s="264" t="s">
        <v>796</v>
      </c>
      <c r="BG144" s="267"/>
      <c r="BH144" s="269"/>
      <c r="BY144" s="281"/>
      <c r="BZ144" s="282" t="s">
        <v>587</v>
      </c>
      <c r="CA144" s="304">
        <f>494.96/51</f>
        <v>9.705098039215686</v>
      </c>
      <c r="CB144" s="245"/>
      <c r="CD144" s="275" t="s">
        <v>492</v>
      </c>
      <c r="CE144" s="276" t="s">
        <v>495</v>
      </c>
      <c r="CF144" s="275" t="s">
        <v>467</v>
      </c>
      <c r="CG144" s="269"/>
      <c r="CN144" s="263">
        <v>4865013</v>
      </c>
      <c r="CO144" s="264" t="s">
        <v>797</v>
      </c>
      <c r="CP144" s="267"/>
      <c r="CQ144" s="269"/>
      <c r="CS144" s="292"/>
      <c r="CT144" s="279" t="s">
        <v>553</v>
      </c>
      <c r="CU144" s="293"/>
      <c r="CV144" s="284"/>
    </row>
    <row r="145" spans="2:100" x14ac:dyDescent="0.25">
      <c r="B145" s="297"/>
      <c r="C145" s="298" t="s">
        <v>5</v>
      </c>
      <c r="D145" s="299">
        <f>SUM(D132:D144)</f>
        <v>4.9774316029336045</v>
      </c>
      <c r="E145" s="269"/>
      <c r="F145" s="245"/>
      <c r="G145" s="281">
        <v>4542</v>
      </c>
      <c r="H145" s="282" t="s">
        <v>527</v>
      </c>
      <c r="I145" s="283">
        <f>insumos!$I$35</f>
        <v>0.022058823529411763</v>
      </c>
      <c r="J145" s="284"/>
      <c r="K145" s="285"/>
      <c r="L145" s="281">
        <v>4542</v>
      </c>
      <c r="M145" s="286" t="s">
        <v>527</v>
      </c>
      <c r="N145" s="283">
        <f>insumos!$I$35</f>
        <v>0.022058823529411763</v>
      </c>
      <c r="O145" s="285"/>
      <c r="Q145" s="26">
        <v>2173</v>
      </c>
      <c r="R145" s="243" t="s">
        <v>536</v>
      </c>
      <c r="S145" s="289">
        <f>+insumos!$H$149*2</f>
        <v>0.0349502662966019</v>
      </c>
      <c r="T145" s="1" t="s">
        <v>547</v>
      </c>
      <c r="V145" s="26" t="s">
        <v>556</v>
      </c>
      <c r="W145" s="30" t="s">
        <v>557</v>
      </c>
      <c r="X145" s="283">
        <f>insumos!$H$23*4</f>
        <v>1.151999462510078</v>
      </c>
      <c r="Y145" s="291" t="s">
        <v>531</v>
      </c>
      <c r="AA145" s="26" t="s">
        <v>533</v>
      </c>
      <c r="AB145" s="30" t="s">
        <v>534</v>
      </c>
      <c r="AC145" s="283">
        <f>insumos!$I$33</f>
        <v>0.049999554426770045</v>
      </c>
      <c r="AD145" s="287"/>
      <c r="AK145" s="281">
        <v>5523</v>
      </c>
      <c r="AL145" s="282" t="s">
        <v>508</v>
      </c>
      <c r="AM145" s="283">
        <f>+insumos!$H$285</f>
        <v>1.1829611337771098</v>
      </c>
      <c r="AN145" s="245"/>
      <c r="BE145" s="275" t="s">
        <v>492</v>
      </c>
      <c r="BF145" s="276" t="s">
        <v>495</v>
      </c>
      <c r="BG145" s="275" t="s">
        <v>467</v>
      </c>
      <c r="BH145" s="269"/>
      <c r="BY145" s="281"/>
      <c r="BZ145" s="307" t="s">
        <v>599</v>
      </c>
      <c r="CA145" s="308">
        <f>+CA143/CA144</f>
        <v>0.827400193955067</v>
      </c>
      <c r="CB145" s="269"/>
      <c r="CD145" s="278"/>
      <c r="CE145" s="279" t="s">
        <v>134</v>
      </c>
      <c r="CF145" s="278"/>
      <c r="CG145" s="269"/>
      <c r="CN145" s="275" t="s">
        <v>492</v>
      </c>
      <c r="CO145" s="276" t="s">
        <v>495</v>
      </c>
      <c r="CP145" s="275" t="s">
        <v>467</v>
      </c>
      <c r="CQ145" s="269"/>
      <c r="CS145" s="26" t="s">
        <v>566</v>
      </c>
      <c r="CT145" s="30" t="s">
        <v>567</v>
      </c>
      <c r="CU145" s="283">
        <f>insumos!$H$113*20</f>
        <v>0.540189077243429</v>
      </c>
      <c r="CV145" s="296" t="s">
        <v>707</v>
      </c>
    </row>
    <row r="146" spans="2:100" x14ac:dyDescent="0.25">
      <c r="B146" s="281"/>
      <c r="C146" s="282" t="s">
        <v>587</v>
      </c>
      <c r="D146" s="281">
        <v>7.8</v>
      </c>
      <c r="E146" s="269"/>
      <c r="F146" s="245"/>
      <c r="G146" s="26">
        <v>3817</v>
      </c>
      <c r="H146" s="243" t="s">
        <v>524</v>
      </c>
      <c r="I146" s="289">
        <f>insumos!$I$103*1.8</f>
        <v>0.02088</v>
      </c>
      <c r="J146" s="290" t="s">
        <v>537</v>
      </c>
      <c r="K146" s="285"/>
      <c r="L146" s="26">
        <v>3817</v>
      </c>
      <c r="M146" s="288" t="s">
        <v>524</v>
      </c>
      <c r="N146" s="289">
        <f>insumos!$I$103*1.8</f>
        <v>0.02088</v>
      </c>
      <c r="O146" s="290" t="s">
        <v>537</v>
      </c>
      <c r="Q146" s="281">
        <v>3636</v>
      </c>
      <c r="R146" s="282" t="s">
        <v>550</v>
      </c>
      <c r="S146" s="283">
        <f>+insumos!$H$121</f>
        <v>0.0445</v>
      </c>
      <c r="T146" s="245"/>
      <c r="V146" s="26" t="s">
        <v>566</v>
      </c>
      <c r="W146" s="30" t="s">
        <v>567</v>
      </c>
      <c r="X146" s="283">
        <f>insumos!$H$113*4</f>
        <v>0.1080378154486858</v>
      </c>
      <c r="Y146" s="291" t="s">
        <v>531</v>
      </c>
      <c r="AA146" s="26">
        <v>3817</v>
      </c>
      <c r="AB146" s="243" t="s">
        <v>524</v>
      </c>
      <c r="AC146" s="289">
        <f>insumos!$I$103*1.8</f>
        <v>0.02088</v>
      </c>
      <c r="AD146" s="285" t="s">
        <v>538</v>
      </c>
      <c r="AK146" s="281">
        <v>4542</v>
      </c>
      <c r="AL146" s="282" t="s">
        <v>527</v>
      </c>
      <c r="AM146" s="283">
        <f>insumos!$I$35</f>
        <v>0.022058823529411763</v>
      </c>
      <c r="AN146" s="245"/>
      <c r="BE146" s="278"/>
      <c r="BF146" s="279" t="s">
        <v>134</v>
      </c>
      <c r="BG146" s="278"/>
      <c r="BH146" s="269"/>
      <c r="BY146" s="311"/>
      <c r="BZ146" s="307" t="s">
        <v>604</v>
      </c>
      <c r="CA146" s="308">
        <f>CA145*1.03</f>
        <v>0.852222199773719</v>
      </c>
      <c r="CB146" s="269"/>
      <c r="CD146" s="281">
        <v>3741</v>
      </c>
      <c r="CE146" s="282" t="s">
        <v>500</v>
      </c>
      <c r="CF146" s="283">
        <f>insumos!$G$213</f>
        <v>0.8355871886120997</v>
      </c>
      <c r="CG146" s="284"/>
      <c r="CN146" s="278"/>
      <c r="CO146" s="279" t="s">
        <v>134</v>
      </c>
      <c r="CP146" s="278"/>
      <c r="CQ146" s="269"/>
      <c r="CS146" s="281">
        <v>6229</v>
      </c>
      <c r="CT146" s="30" t="s">
        <v>588</v>
      </c>
      <c r="CU146" s="283">
        <f>insumos!$I$265*20</f>
        <v>0.43042533304049163</v>
      </c>
      <c r="CV146" s="296" t="s">
        <v>707</v>
      </c>
    </row>
    <row r="147" spans="2:100" x14ac:dyDescent="0.25">
      <c r="B147" s="281"/>
      <c r="C147" s="307" t="s">
        <v>599</v>
      </c>
      <c r="D147" s="308">
        <f>+D145/D146</f>
        <v>0.6381322567863595</v>
      </c>
      <c r="E147" s="269"/>
      <c r="F147" s="245"/>
      <c r="G147" s="26">
        <v>2173</v>
      </c>
      <c r="H147" s="243" t="s">
        <v>536</v>
      </c>
      <c r="I147" s="289">
        <f>+insumos!$H$149*2</f>
        <v>0.0349502662966019</v>
      </c>
      <c r="J147" s="291" t="s">
        <v>547</v>
      </c>
      <c r="K147" s="290"/>
      <c r="L147" s="26">
        <v>2173</v>
      </c>
      <c r="M147" s="288" t="s">
        <v>536</v>
      </c>
      <c r="N147" s="289">
        <f>+insumos!$H$149*2</f>
        <v>0.0349502662966019</v>
      </c>
      <c r="O147" s="291" t="s">
        <v>547</v>
      </c>
      <c r="Q147" s="292"/>
      <c r="R147" s="279" t="s">
        <v>553</v>
      </c>
      <c r="S147" s="293"/>
      <c r="T147" s="245"/>
      <c r="V147" s="297"/>
      <c r="W147" s="303" t="s">
        <v>5</v>
      </c>
      <c r="X147" s="299">
        <f>SUM(X138:X146)</f>
        <v>3.460387501561888</v>
      </c>
      <c r="Y147" s="245"/>
      <c r="AA147" s="26">
        <v>2173</v>
      </c>
      <c r="AB147" s="243" t="s">
        <v>536</v>
      </c>
      <c r="AC147" s="289">
        <f>+insumos!$H$149*2</f>
        <v>0.0349502662966019</v>
      </c>
      <c r="AD147" s="1" t="s">
        <v>547</v>
      </c>
      <c r="AK147" s="26">
        <v>3817</v>
      </c>
      <c r="AL147" s="243" t="s">
        <v>524</v>
      </c>
      <c r="AM147" s="289">
        <f>insumos!$I$103*1.8</f>
        <v>0.02088</v>
      </c>
      <c r="AN147" s="285" t="s">
        <v>538</v>
      </c>
      <c r="BE147" s="281">
        <v>3741</v>
      </c>
      <c r="BF147" s="282" t="s">
        <v>500</v>
      </c>
      <c r="BG147" s="283">
        <f>insumos!$G$213</f>
        <v>0.8355871886120997</v>
      </c>
      <c r="BH147" s="284"/>
      <c r="CD147" s="26" t="s">
        <v>515</v>
      </c>
      <c r="CE147" s="30" t="s">
        <v>516</v>
      </c>
      <c r="CF147" s="283">
        <f>+insumos!$G$283</f>
        <v>1.1</v>
      </c>
      <c r="CG147" s="284"/>
      <c r="CN147" s="281">
        <v>5524</v>
      </c>
      <c r="CO147" s="1" t="s">
        <v>501</v>
      </c>
      <c r="CP147" s="283">
        <f>insumos!$H$217</f>
        <v>0.8950000000000001</v>
      </c>
      <c r="CQ147" s="269"/>
      <c r="CS147" s="281">
        <v>6254</v>
      </c>
      <c r="CT147" s="30" t="s">
        <v>600</v>
      </c>
      <c r="CU147" s="283">
        <f>+insumos!$I$208*20</f>
        <v>0.889148997283566</v>
      </c>
      <c r="CV147" s="296" t="s">
        <v>707</v>
      </c>
    </row>
    <row r="148" spans="2:100" x14ac:dyDescent="0.25">
      <c r="B148" s="311"/>
      <c r="C148" s="307" t="s">
        <v>604</v>
      </c>
      <c r="D148" s="308">
        <f>D147*1.03</f>
        <v>0.6572762244899504</v>
      </c>
      <c r="E148" s="269"/>
      <c r="F148" s="245"/>
      <c r="G148" s="281">
        <v>3636</v>
      </c>
      <c r="H148" s="282" t="s">
        <v>550</v>
      </c>
      <c r="I148" s="283">
        <f>+insumos!$H$121</f>
        <v>0.0445</v>
      </c>
      <c r="K148" s="291"/>
      <c r="L148" s="281">
        <v>3636</v>
      </c>
      <c r="M148" s="286" t="s">
        <v>550</v>
      </c>
      <c r="N148" s="283">
        <f>+insumos!$H$121</f>
        <v>0.0445</v>
      </c>
      <c r="O148" s="285"/>
      <c r="Q148" s="2" t="s">
        <v>650</v>
      </c>
      <c r="R148" s="1" t="s">
        <v>651</v>
      </c>
      <c r="S148" s="283">
        <f>insumos!$H$75*4</f>
        <v>0.78</v>
      </c>
      <c r="T148" s="1" t="s">
        <v>531</v>
      </c>
      <c r="V148" s="281"/>
      <c r="W148" s="286" t="s">
        <v>587</v>
      </c>
      <c r="X148" s="281">
        <v>20.66</v>
      </c>
      <c r="Y148" s="245"/>
      <c r="AA148" s="281">
        <v>3636</v>
      </c>
      <c r="AB148" s="282" t="s">
        <v>550</v>
      </c>
      <c r="AC148" s="283">
        <f>+insumos!$H$121</f>
        <v>0.0445</v>
      </c>
      <c r="AD148" s="245"/>
      <c r="AK148" s="26">
        <v>2173</v>
      </c>
      <c r="AL148" s="243" t="s">
        <v>536</v>
      </c>
      <c r="AM148" s="289">
        <f>+insumos!$H$149*2</f>
        <v>0.0349502662966019</v>
      </c>
      <c r="AN148" s="1" t="s">
        <v>547</v>
      </c>
      <c r="BE148" s="26" t="s">
        <v>517</v>
      </c>
      <c r="BF148" s="30" t="s">
        <v>518</v>
      </c>
      <c r="BG148" s="283">
        <f>+insumos!$H$263</f>
        <v>1.6</v>
      </c>
      <c r="BH148" s="284"/>
      <c r="BY148" s="263">
        <v>4543931</v>
      </c>
      <c r="BZ148" s="264" t="s">
        <v>798</v>
      </c>
      <c r="CA148" s="267"/>
      <c r="CB148" s="269"/>
      <c r="CD148" s="281">
        <v>4986</v>
      </c>
      <c r="CE148" s="30" t="s">
        <v>530</v>
      </c>
      <c r="CF148" s="283">
        <f>insumos!$H$255*3</f>
        <v>0.5699996367390061</v>
      </c>
      <c r="CG148" s="284" t="s">
        <v>526</v>
      </c>
      <c r="CN148" s="281">
        <v>5523</v>
      </c>
      <c r="CO148" s="282" t="s">
        <v>508</v>
      </c>
      <c r="CP148" s="283">
        <f>+insumos!$H$285</f>
        <v>1.1829611337771098</v>
      </c>
      <c r="CQ148" s="269"/>
      <c r="CS148" s="26" t="s">
        <v>799</v>
      </c>
      <c r="CT148" s="30" t="s">
        <v>800</v>
      </c>
      <c r="CU148" s="283">
        <f>insumos!$H$175*20</f>
        <v>0.14</v>
      </c>
      <c r="CV148" s="296" t="s">
        <v>707</v>
      </c>
    </row>
    <row r="149" spans="7:100" x14ac:dyDescent="0.25">
      <c r="G149" s="292"/>
      <c r="H149" s="279" t="s">
        <v>553</v>
      </c>
      <c r="I149" s="293"/>
      <c r="J149" s="284"/>
      <c r="K149" s="285"/>
      <c r="L149" s="292"/>
      <c r="M149" s="280" t="s">
        <v>553</v>
      </c>
      <c r="N149" s="293"/>
      <c r="O149" s="285"/>
      <c r="Q149" s="26" t="s">
        <v>658</v>
      </c>
      <c r="R149" s="30" t="s">
        <v>659</v>
      </c>
      <c r="S149" s="283">
        <f>insumos!$H$135*4</f>
        <v>0.082</v>
      </c>
      <c r="T149" s="1" t="s">
        <v>531</v>
      </c>
      <c r="V149" s="281"/>
      <c r="W149" s="310" t="s">
        <v>599</v>
      </c>
      <c r="X149" s="308">
        <f>+X147/X148</f>
        <v>0.16749213463513493</v>
      </c>
      <c r="Y149" s="245"/>
      <c r="AA149" s="292"/>
      <c r="AB149" s="279" t="s">
        <v>553</v>
      </c>
      <c r="AC149" s="293"/>
      <c r="AD149" s="245"/>
      <c r="AK149" s="281">
        <v>3636</v>
      </c>
      <c r="AL149" s="282" t="s">
        <v>550</v>
      </c>
      <c r="AM149" s="283">
        <f>+insumos!$H$121</f>
        <v>0.0445</v>
      </c>
      <c r="AN149" s="245"/>
      <c r="BE149" s="281"/>
      <c r="BF149" s="282"/>
      <c r="BG149" s="283"/>
      <c r="BH149" s="284"/>
      <c r="BY149" s="275" t="s">
        <v>492</v>
      </c>
      <c r="BZ149" s="276" t="s">
        <v>495</v>
      </c>
      <c r="CA149" s="275" t="s">
        <v>467</v>
      </c>
      <c r="CB149" s="269"/>
      <c r="CD149" s="26" t="s">
        <v>539</v>
      </c>
      <c r="CE149" s="30" t="s">
        <v>540</v>
      </c>
      <c r="CF149" s="283">
        <f>insumos!$H$45</f>
        <v>0.028</v>
      </c>
      <c r="CG149" s="284"/>
      <c r="CN149" s="281">
        <v>4986</v>
      </c>
      <c r="CO149" s="1" t="s">
        <v>530</v>
      </c>
      <c r="CP149" s="283">
        <f>insumos!$H$255*3</f>
        <v>0.5699996367390061</v>
      </c>
      <c r="CQ149" s="284" t="s">
        <v>526</v>
      </c>
      <c r="CS149" s="297"/>
      <c r="CT149" s="298" t="s">
        <v>5</v>
      </c>
      <c r="CU149" s="299">
        <f>SUM(CU137:CU148)</f>
        <v>4.6336804992151945</v>
      </c>
      <c r="CV149" s="300"/>
    </row>
    <row r="150" spans="2:100" x14ac:dyDescent="0.25">
      <c r="B150" s="263">
        <v>439033</v>
      </c>
      <c r="C150" s="264" t="s">
        <v>801</v>
      </c>
      <c r="D150" s="267">
        <v>780</v>
      </c>
      <c r="E150" s="272">
        <f>D150/E2</f>
        <v>19.374068554396423</v>
      </c>
      <c r="F150" s="245"/>
      <c r="G150" s="26">
        <v>6292</v>
      </c>
      <c r="H150" s="30" t="s">
        <v>725</v>
      </c>
      <c r="I150" s="283">
        <f>insumos!$H$54*11</f>
        <v>2.4309999999999996</v>
      </c>
      <c r="J150" s="284" t="s">
        <v>802</v>
      </c>
      <c r="K150" s="285"/>
      <c r="L150" s="26" t="s">
        <v>691</v>
      </c>
      <c r="M150" s="1" t="s">
        <v>692</v>
      </c>
      <c r="N150" s="283">
        <f>insumos!$H$93*14</f>
        <v>1.596</v>
      </c>
      <c r="O150" s="291" t="s">
        <v>803</v>
      </c>
      <c r="Q150" s="297"/>
      <c r="R150" s="298" t="s">
        <v>5</v>
      </c>
      <c r="S150" s="299">
        <f>SUM(S141:S149)</f>
        <v>2.2343890898260135</v>
      </c>
      <c r="T150" s="245"/>
      <c r="V150" s="311"/>
      <c r="W150" s="310" t="s">
        <v>604</v>
      </c>
      <c r="X150" s="308">
        <f>X149*1.03</f>
        <v>0.17251689867418898</v>
      </c>
      <c r="Y150" s="245"/>
      <c r="AA150" s="26"/>
      <c r="AB150" s="30"/>
      <c r="AC150" s="283"/>
      <c r="AD150" s="1"/>
      <c r="AK150" s="292"/>
      <c r="AL150" s="279" t="s">
        <v>553</v>
      </c>
      <c r="AM150" s="293"/>
      <c r="AN150" s="245"/>
      <c r="BE150" s="26" t="s">
        <v>541</v>
      </c>
      <c r="BF150" s="30" t="s">
        <v>542</v>
      </c>
      <c r="BG150" s="283">
        <f>insumos!$H$50</f>
        <v>0.027941176470588237</v>
      </c>
      <c r="BH150" s="284"/>
      <c r="BY150" s="278"/>
      <c r="BZ150" s="279" t="s">
        <v>134</v>
      </c>
      <c r="CA150" s="278"/>
      <c r="CB150" s="269"/>
      <c r="CD150" s="26">
        <v>3817</v>
      </c>
      <c r="CE150" s="243" t="s">
        <v>524</v>
      </c>
      <c r="CF150" s="289">
        <f>insumos!$I$103*1.8</f>
        <v>0.02088</v>
      </c>
      <c r="CG150" s="290" t="s">
        <v>537</v>
      </c>
      <c r="CN150" s="281">
        <v>4542</v>
      </c>
      <c r="CO150" s="282" t="s">
        <v>527</v>
      </c>
      <c r="CP150" s="283">
        <f>insumos!$I$35</f>
        <v>0.022058823529411763</v>
      </c>
      <c r="CQ150" s="284"/>
      <c r="CS150" s="281"/>
      <c r="CT150" s="282" t="s">
        <v>587</v>
      </c>
      <c r="CU150" s="304">
        <v>10.8</v>
      </c>
      <c r="CV150" s="269"/>
    </row>
    <row r="151" spans="2:100" x14ac:dyDescent="0.25">
      <c r="B151" s="275" t="s">
        <v>492</v>
      </c>
      <c r="C151" s="276" t="s">
        <v>495</v>
      </c>
      <c r="D151" s="275" t="s">
        <v>467</v>
      </c>
      <c r="E151" s="269"/>
      <c r="F151" s="245"/>
      <c r="G151" s="26" t="s">
        <v>566</v>
      </c>
      <c r="H151" s="30" t="s">
        <v>567</v>
      </c>
      <c r="I151" s="283">
        <f>insumos!$H$113*11</f>
        <v>0.29710399248388597</v>
      </c>
      <c r="J151" s="300" t="s">
        <v>802</v>
      </c>
      <c r="K151" s="291"/>
      <c r="L151" s="26" t="s">
        <v>566</v>
      </c>
      <c r="M151" s="30" t="s">
        <v>567</v>
      </c>
      <c r="N151" s="283">
        <f>insumos!$H$113*14</f>
        <v>0.3781323540704003</v>
      </c>
      <c r="O151" s="291" t="s">
        <v>803</v>
      </c>
      <c r="Q151" s="281"/>
      <c r="R151" s="282" t="s">
        <v>587</v>
      </c>
      <c r="S151" s="304">
        <f>11937.15/660</f>
        <v>18.08659090909091</v>
      </c>
      <c r="T151" s="245"/>
      <c r="AA151" s="26"/>
      <c r="AB151" s="30"/>
      <c r="AC151" s="283"/>
      <c r="AD151" s="1"/>
      <c r="AK151" s="26" t="s">
        <v>789</v>
      </c>
      <c r="AL151" s="30" t="s">
        <v>790</v>
      </c>
      <c r="AM151" s="283">
        <f>insumos!$I$31*2</f>
        <v>0.13</v>
      </c>
      <c r="AN151" s="1" t="s">
        <v>532</v>
      </c>
      <c r="BE151" s="26">
        <v>3817</v>
      </c>
      <c r="BF151" s="243" t="s">
        <v>524</v>
      </c>
      <c r="BG151" s="289">
        <f>insumos!$I$103*1.8</f>
        <v>0.02088</v>
      </c>
      <c r="BH151" s="290" t="s">
        <v>537</v>
      </c>
      <c r="BY151" s="281">
        <v>5524</v>
      </c>
      <c r="BZ151" s="1" t="s">
        <v>501</v>
      </c>
      <c r="CA151" s="283">
        <f>insumos!$H$217</f>
        <v>0.8950000000000001</v>
      </c>
      <c r="CB151" s="269"/>
      <c r="CD151" s="26">
        <v>2173</v>
      </c>
      <c r="CE151" s="243" t="s">
        <v>536</v>
      </c>
      <c r="CF151" s="289">
        <f>+insumos!$H$149*2</f>
        <v>0.0349502662966019</v>
      </c>
      <c r="CG151" s="291" t="s">
        <v>547</v>
      </c>
      <c r="CN151" s="26">
        <v>3817</v>
      </c>
      <c r="CO151" s="243" t="s">
        <v>524</v>
      </c>
      <c r="CP151" s="289">
        <f>insumos!$I$103*1.8</f>
        <v>0.02088</v>
      </c>
      <c r="CQ151" s="290" t="s">
        <v>537</v>
      </c>
      <c r="CS151" s="281"/>
      <c r="CT151" s="307" t="s">
        <v>599</v>
      </c>
      <c r="CU151" s="308">
        <f>+CU149/CU150</f>
        <v>0.42904449066807354</v>
      </c>
      <c r="CV151" s="269"/>
    </row>
    <row r="152" spans="2:100" x14ac:dyDescent="0.25">
      <c r="B152" s="278"/>
      <c r="C152" s="279" t="s">
        <v>134</v>
      </c>
      <c r="D152" s="278"/>
      <c r="E152" s="269"/>
      <c r="F152" s="245"/>
      <c r="G152" s="297"/>
      <c r="H152" s="298" t="s">
        <v>5</v>
      </c>
      <c r="I152" s="299">
        <f>SUM(I143:I151)</f>
        <v>4.928454216087009</v>
      </c>
      <c r="J152" s="300"/>
      <c r="K152" s="291"/>
      <c r="L152" s="297"/>
      <c r="M152" s="303" t="s">
        <v>5</v>
      </c>
      <c r="N152" s="299">
        <f>SUM(N143:N151)</f>
        <v>4.141521443896415</v>
      </c>
      <c r="O152" s="245"/>
      <c r="Q152" s="281"/>
      <c r="R152" s="307" t="s">
        <v>599</v>
      </c>
      <c r="S152" s="308">
        <f>+S150/S151</f>
        <v>0.12353843248054762</v>
      </c>
      <c r="T152" s="245"/>
      <c r="AA152" s="297"/>
      <c r="AB152" s="298" t="s">
        <v>5</v>
      </c>
      <c r="AC152" s="299">
        <f>SUM(AC143:AC151)</f>
        <v>1.4003298207233719</v>
      </c>
      <c r="AD152" s="245"/>
      <c r="AK152" s="26" t="s">
        <v>566</v>
      </c>
      <c r="AL152" s="30" t="s">
        <v>567</v>
      </c>
      <c r="AM152" s="283">
        <f>insumos!$H$113*2</f>
        <v>0.0540189077243429</v>
      </c>
      <c r="AN152" s="1" t="s">
        <v>532</v>
      </c>
      <c r="BE152" s="26">
        <v>2173</v>
      </c>
      <c r="BF152" s="243" t="s">
        <v>536</v>
      </c>
      <c r="BG152" s="289">
        <f>+insumos!$H$149*2</f>
        <v>0.0349502662966019</v>
      </c>
      <c r="BH152" s="291" t="s">
        <v>547</v>
      </c>
      <c r="BY152" s="281">
        <v>5523</v>
      </c>
      <c r="BZ152" s="282" t="s">
        <v>508</v>
      </c>
      <c r="CA152" s="283">
        <f>+insumos!$H$285</f>
        <v>1.1829611337771098</v>
      </c>
      <c r="CB152" s="269"/>
      <c r="CD152" s="281">
        <v>3636</v>
      </c>
      <c r="CE152" s="282" t="s">
        <v>550</v>
      </c>
      <c r="CF152" s="283">
        <f>+insumos!$H$121</f>
        <v>0.0445</v>
      </c>
      <c r="CG152" s="284"/>
      <c r="CN152" s="26">
        <v>2173</v>
      </c>
      <c r="CO152" s="243" t="s">
        <v>536</v>
      </c>
      <c r="CP152" s="289">
        <f>+insumos!$H$149*2</f>
        <v>0.0349502662966019</v>
      </c>
      <c r="CQ152" s="291" t="s">
        <v>547</v>
      </c>
      <c r="CS152" s="311"/>
      <c r="CT152" s="307" t="s">
        <v>604</v>
      </c>
      <c r="CU152" s="308">
        <f>CU151*1.03</f>
        <v>0.44191582538811575</v>
      </c>
      <c r="CV152" s="269"/>
    </row>
    <row r="153" spans="2:94" x14ac:dyDescent="0.25">
      <c r="B153" s="281">
        <v>3741</v>
      </c>
      <c r="C153" s="282" t="s">
        <v>500</v>
      </c>
      <c r="D153" s="283">
        <f>insumos!$G$213</f>
        <v>0.8355871886120997</v>
      </c>
      <c r="E153" s="284"/>
      <c r="F153" s="285"/>
      <c r="G153" s="281"/>
      <c r="H153" s="282" t="s">
        <v>587</v>
      </c>
      <c r="I153" s="281">
        <v>18.8</v>
      </c>
      <c r="J153" s="269"/>
      <c r="K153" s="245"/>
      <c r="L153" s="281"/>
      <c r="M153" s="286" t="s">
        <v>587</v>
      </c>
      <c r="N153" s="304">
        <f>2474.61/172</f>
        <v>14.387267441860466</v>
      </c>
      <c r="O153" s="245"/>
      <c r="Q153" s="311"/>
      <c r="R153" s="307" t="s">
        <v>604</v>
      </c>
      <c r="S153" s="308">
        <f>S152*1.03</f>
        <v>0.12724458545496406</v>
      </c>
      <c r="AA153" s="281"/>
      <c r="AB153" s="282" t="s">
        <v>587</v>
      </c>
      <c r="AC153" s="304">
        <f>146362.59/5379</f>
        <v>27.21</v>
      </c>
      <c r="AD153" s="245"/>
      <c r="AK153" s="297"/>
      <c r="AL153" s="298" t="s">
        <v>5</v>
      </c>
      <c r="AM153" s="299">
        <f>SUM(AM144:AM152)</f>
        <v>2.0893691313274663</v>
      </c>
      <c r="AN153" s="245"/>
      <c r="BE153" s="281">
        <v>3636</v>
      </c>
      <c r="BF153" s="282" t="s">
        <v>550</v>
      </c>
      <c r="BG153" s="283">
        <f>+insumos!$H$121</f>
        <v>0.0445</v>
      </c>
      <c r="BH153" s="284"/>
      <c r="BY153" s="281">
        <v>4986</v>
      </c>
      <c r="BZ153" s="1" t="s">
        <v>530</v>
      </c>
      <c r="CA153" s="283">
        <f>insumos!$H$255*5</f>
        <v>0.9499993945650103</v>
      </c>
      <c r="CB153" s="284" t="s">
        <v>652</v>
      </c>
      <c r="CD153" s="292"/>
      <c r="CE153" s="279" t="s">
        <v>553</v>
      </c>
      <c r="CF153" s="293"/>
      <c r="CG153" s="284"/>
      <c r="CN153" s="281">
        <v>3636</v>
      </c>
      <c r="CO153" s="282" t="s">
        <v>550</v>
      </c>
      <c r="CP153" s="283">
        <f>+insumos!$H$121</f>
        <v>0.0445</v>
      </c>
    </row>
    <row r="154" spans="2:100" x14ac:dyDescent="0.25">
      <c r="B154" s="281">
        <v>3759</v>
      </c>
      <c r="C154" s="1" t="s">
        <v>507</v>
      </c>
      <c r="D154" s="283">
        <f>+insumos!$G$284</f>
        <v>1.1352416613292604</v>
      </c>
      <c r="E154" s="284"/>
      <c r="F154" s="285"/>
      <c r="G154" s="281"/>
      <c r="H154" s="307" t="s">
        <v>599</v>
      </c>
      <c r="I154" s="308">
        <f>+I152/I153</f>
        <v>0.2621518200046281</v>
      </c>
      <c r="J154" s="269"/>
      <c r="K154" s="245"/>
      <c r="L154" s="281"/>
      <c r="M154" s="310" t="s">
        <v>599</v>
      </c>
      <c r="N154" s="308">
        <f>+N152/N153</f>
        <v>0.28786018336230085</v>
      </c>
      <c r="O154" s="245"/>
      <c r="AA154" s="281"/>
      <c r="AB154" s="307" t="s">
        <v>599</v>
      </c>
      <c r="AC154" s="308">
        <f>+AC152/AC153</f>
        <v>0.05146379348487217</v>
      </c>
      <c r="AD154" s="245"/>
      <c r="AK154" s="281"/>
      <c r="AL154" s="282" t="s">
        <v>587</v>
      </c>
      <c r="AM154" s="304">
        <f>619.87/33</f>
        <v>18.783939393939395</v>
      </c>
      <c r="AN154" s="245"/>
      <c r="BE154" s="292"/>
      <c r="BF154" s="279" t="s">
        <v>553</v>
      </c>
      <c r="BG154" s="293"/>
      <c r="BH154" s="284"/>
      <c r="BY154" s="281">
        <v>4542</v>
      </c>
      <c r="BZ154" s="282" t="s">
        <v>527</v>
      </c>
      <c r="CA154" s="283">
        <f>insumos!$I$35</f>
        <v>0.022058823529411763</v>
      </c>
      <c r="CB154" s="284"/>
      <c r="CD154" s="26" t="s">
        <v>566</v>
      </c>
      <c r="CE154" s="30" t="s">
        <v>567</v>
      </c>
      <c r="CF154" s="283">
        <f>insumos!$H$113*12</f>
        <v>0.32411344634605743</v>
      </c>
      <c r="CG154" s="296" t="s">
        <v>568</v>
      </c>
      <c r="CN154" s="292"/>
      <c r="CO154" s="279" t="s">
        <v>553</v>
      </c>
      <c r="CP154" s="293"/>
      <c r="CS154" s="263">
        <v>6173036</v>
      </c>
      <c r="CT154" s="264" t="s">
        <v>804</v>
      </c>
      <c r="CU154" s="267"/>
      <c r="CV154" s="269"/>
    </row>
    <row r="155" spans="2:100" x14ac:dyDescent="0.25">
      <c r="B155" s="281">
        <v>4653</v>
      </c>
      <c r="C155" s="282" t="s">
        <v>525</v>
      </c>
      <c r="D155" s="283">
        <f>insumos!$H$254*3</f>
        <v>0.5592178831719787</v>
      </c>
      <c r="E155" s="284" t="s">
        <v>526</v>
      </c>
      <c r="F155" s="285"/>
      <c r="G155" s="311"/>
      <c r="H155" s="307" t="s">
        <v>604</v>
      </c>
      <c r="I155" s="308">
        <f>I154*1.03</f>
        <v>0.27001637460476696</v>
      </c>
      <c r="J155" s="269"/>
      <c r="K155" s="245"/>
      <c r="L155" s="311"/>
      <c r="M155" s="310" t="s">
        <v>604</v>
      </c>
      <c r="N155" s="308">
        <f>N154*1.03</f>
        <v>0.29649598886316986</v>
      </c>
      <c r="O155" s="245"/>
      <c r="Q155" s="263">
        <v>998027</v>
      </c>
      <c r="R155" s="264" t="s">
        <v>805</v>
      </c>
      <c r="S155" s="267"/>
      <c r="T155" s="245"/>
      <c r="AA155" s="311"/>
      <c r="AB155" s="307" t="s">
        <v>604</v>
      </c>
      <c r="AC155" s="308">
        <f>AC154*1.03</f>
        <v>0.05300770728941834</v>
      </c>
      <c r="AD155" s="245"/>
      <c r="AK155" s="281"/>
      <c r="AL155" s="307" t="s">
        <v>599</v>
      </c>
      <c r="AM155" s="308">
        <f>+AM153/AM154</f>
        <v>0.11123167976157321</v>
      </c>
      <c r="AN155" s="245"/>
      <c r="BE155" s="26" t="s">
        <v>566</v>
      </c>
      <c r="BF155" s="30" t="s">
        <v>567</v>
      </c>
      <c r="BG155" s="283">
        <f>insumos!$H$113*5</f>
        <v>0.13504726931085725</v>
      </c>
      <c r="BH155" s="300" t="s">
        <v>652</v>
      </c>
      <c r="BY155" s="26">
        <v>3817</v>
      </c>
      <c r="BZ155" s="243" t="s">
        <v>524</v>
      </c>
      <c r="CA155" s="289">
        <f>insumos!$I$103*1.8</f>
        <v>0.02088</v>
      </c>
      <c r="CB155" s="290" t="s">
        <v>537</v>
      </c>
      <c r="CD155" s="281">
        <v>6229</v>
      </c>
      <c r="CE155" s="30" t="s">
        <v>588</v>
      </c>
      <c r="CF155" s="283">
        <f>insumos!$I$265*12</f>
        <v>0.25825519982429496</v>
      </c>
      <c r="CG155" s="296" t="s">
        <v>568</v>
      </c>
      <c r="CN155" s="281">
        <v>6208</v>
      </c>
      <c r="CO155" s="282" t="s">
        <v>573</v>
      </c>
      <c r="CP155" s="283">
        <f>insumos!$H$188*12</f>
        <v>1.0929882352941176</v>
      </c>
      <c r="CQ155" s="300" t="s">
        <v>568</v>
      </c>
      <c r="CS155" s="275" t="s">
        <v>492</v>
      </c>
      <c r="CT155" s="276" t="s">
        <v>495</v>
      </c>
      <c r="CU155" s="275" t="s">
        <v>467</v>
      </c>
      <c r="CV155" s="269"/>
    </row>
    <row r="156" spans="2:100" x14ac:dyDescent="0.25">
      <c r="B156" s="281">
        <v>4541</v>
      </c>
      <c r="C156" s="282" t="s">
        <v>528</v>
      </c>
      <c r="D156" s="283">
        <f>insumos!$H$43</f>
        <v>0.022058823529411766</v>
      </c>
      <c r="E156" s="284"/>
      <c r="F156" s="285"/>
      <c r="G156" s="245"/>
      <c r="H156" s="245"/>
      <c r="I156" s="245"/>
      <c r="J156" s="269"/>
      <c r="K156" s="245"/>
      <c r="L156" s="245"/>
      <c r="M156" s="245"/>
      <c r="N156" s="245"/>
      <c r="O156" s="245"/>
      <c r="Q156" s="275" t="s">
        <v>492</v>
      </c>
      <c r="R156" s="276" t="s">
        <v>495</v>
      </c>
      <c r="S156" s="275" t="s">
        <v>467</v>
      </c>
      <c r="T156" s="245"/>
      <c r="AK156" s="311"/>
      <c r="AL156" s="307" t="s">
        <v>604</v>
      </c>
      <c r="AM156" s="308">
        <f>AM155*1.03</f>
        <v>0.11456863015442041</v>
      </c>
      <c r="AN156" s="245"/>
      <c r="BE156" s="26" t="s">
        <v>806</v>
      </c>
      <c r="BF156" s="30" t="s">
        <v>807</v>
      </c>
      <c r="BG156" s="283">
        <f>insumos!$H$86*5</f>
        <v>2.425</v>
      </c>
      <c r="BH156" s="300" t="s">
        <v>652</v>
      </c>
      <c r="BY156" s="26">
        <v>2173</v>
      </c>
      <c r="BZ156" s="243" t="s">
        <v>536</v>
      </c>
      <c r="CA156" s="289">
        <f>+insumos!$H$149*2</f>
        <v>0.0349502662966019</v>
      </c>
      <c r="CB156" s="291" t="s">
        <v>547</v>
      </c>
      <c r="CD156" s="281">
        <v>6254</v>
      </c>
      <c r="CE156" s="30" t="s">
        <v>600</v>
      </c>
      <c r="CF156" s="283">
        <f>+insumos!$I$208*12</f>
        <v>0.5334893983701396</v>
      </c>
      <c r="CG156" s="296" t="s">
        <v>568</v>
      </c>
      <c r="CN156" s="281">
        <v>5202</v>
      </c>
      <c r="CO156" s="282" t="s">
        <v>586</v>
      </c>
      <c r="CP156" s="283">
        <f>insumos!$H$114*12</f>
        <v>0.3161371428571429</v>
      </c>
      <c r="CQ156" s="300" t="s">
        <v>568</v>
      </c>
      <c r="CS156" s="278"/>
      <c r="CT156" s="279" t="s">
        <v>134</v>
      </c>
      <c r="CU156" s="278"/>
      <c r="CV156" s="269"/>
    </row>
    <row r="157" spans="2:100" x14ac:dyDescent="0.25">
      <c r="B157" s="26">
        <v>3817</v>
      </c>
      <c r="C157" s="243" t="s">
        <v>524</v>
      </c>
      <c r="D157" s="289">
        <f>insumos!$I$103*1.8</f>
        <v>0.02088</v>
      </c>
      <c r="E157" s="290" t="s">
        <v>537</v>
      </c>
      <c r="F157" s="290"/>
      <c r="G157" s="263">
        <v>437516</v>
      </c>
      <c r="H157" s="264" t="s">
        <v>808</v>
      </c>
      <c r="I157" s="267"/>
      <c r="L157" s="263">
        <v>436225</v>
      </c>
      <c r="M157" s="264" t="s">
        <v>809</v>
      </c>
      <c r="N157" s="265">
        <v>688</v>
      </c>
      <c r="O157" s="266">
        <f>N157/E2</f>
        <v>17.088922006954796</v>
      </c>
      <c r="Q157" s="278"/>
      <c r="R157" s="279" t="s">
        <v>134</v>
      </c>
      <c r="S157" s="278"/>
      <c r="T157" s="245"/>
      <c r="AA157" s="263">
        <v>991091</v>
      </c>
      <c r="AB157" s="264" t="s">
        <v>810</v>
      </c>
      <c r="AC157" s="267"/>
      <c r="AD157" s="245"/>
      <c r="BE157" s="281"/>
      <c r="BF157" s="30"/>
      <c r="BG157" s="283"/>
      <c r="BH157" s="300"/>
      <c r="BY157" s="281">
        <v>3636</v>
      </c>
      <c r="BZ157" s="282" t="s">
        <v>550</v>
      </c>
      <c r="CA157" s="283">
        <f>+insumos!$H$121</f>
        <v>0.0445</v>
      </c>
      <c r="CD157" s="26" t="s">
        <v>606</v>
      </c>
      <c r="CE157" s="30" t="s">
        <v>607</v>
      </c>
      <c r="CF157" s="283">
        <f>insumos!$H$197*12</f>
        <v>1.7449411764705882</v>
      </c>
      <c r="CG157" s="296" t="s">
        <v>568</v>
      </c>
      <c r="CN157" s="281">
        <v>6229</v>
      </c>
      <c r="CO157" s="30" t="s">
        <v>588</v>
      </c>
      <c r="CP157" s="283">
        <f>insumos!$I$265*12</f>
        <v>0.25825519982429496</v>
      </c>
      <c r="CQ157" s="300" t="s">
        <v>568</v>
      </c>
      <c r="CS157" s="281">
        <v>3741</v>
      </c>
      <c r="CT157" s="282" t="s">
        <v>500</v>
      </c>
      <c r="CU157" s="283">
        <f>insumos!$G$213</f>
        <v>0.8355871886120997</v>
      </c>
      <c r="CV157" s="284"/>
    </row>
    <row r="158" spans="2:100" x14ac:dyDescent="0.25">
      <c r="B158" s="26">
        <v>2173</v>
      </c>
      <c r="C158" s="243" t="s">
        <v>536</v>
      </c>
      <c r="D158" s="289">
        <f>+insumos!$H$149*2</f>
        <v>0.0349502662966019</v>
      </c>
      <c r="E158" s="291" t="s">
        <v>547</v>
      </c>
      <c r="F158" s="291"/>
      <c r="G158" s="275" t="s">
        <v>492</v>
      </c>
      <c r="H158" s="276" t="s">
        <v>495</v>
      </c>
      <c r="I158" s="275" t="s">
        <v>467</v>
      </c>
      <c r="J158" s="269"/>
      <c r="K158" s="245"/>
      <c r="L158" s="275" t="s">
        <v>492</v>
      </c>
      <c r="M158" s="277" t="s">
        <v>495</v>
      </c>
      <c r="N158" s="275" t="s">
        <v>467</v>
      </c>
      <c r="O158" s="245"/>
      <c r="Q158" s="281">
        <v>6184</v>
      </c>
      <c r="R158" s="1" t="s">
        <v>502</v>
      </c>
      <c r="S158" s="283">
        <f>insumos!$H$215</f>
        <v>0.6</v>
      </c>
      <c r="T158" s="245"/>
      <c r="AA158" s="275" t="s">
        <v>492</v>
      </c>
      <c r="AB158" s="276" t="s">
        <v>495</v>
      </c>
      <c r="AC158" s="275" t="s">
        <v>467</v>
      </c>
      <c r="AD158" s="245"/>
      <c r="AK158" s="263">
        <v>1987134</v>
      </c>
      <c r="AL158" s="264" t="s">
        <v>811</v>
      </c>
      <c r="AM158" s="267"/>
      <c r="AN158" s="245"/>
      <c r="BE158" s="26" t="s">
        <v>608</v>
      </c>
      <c r="BF158" s="30" t="s">
        <v>609</v>
      </c>
      <c r="BG158" s="283">
        <f>insumos!$H$176*5</f>
        <v>0.27</v>
      </c>
      <c r="BH158" s="300" t="s">
        <v>652</v>
      </c>
      <c r="BY158" s="292"/>
      <c r="BZ158" s="279" t="s">
        <v>553</v>
      </c>
      <c r="CA158" s="293"/>
      <c r="CD158" s="297"/>
      <c r="CE158" s="298" t="s">
        <v>5</v>
      </c>
      <c r="CF158" s="299">
        <f>SUM(CF146:CF157)</f>
        <v>5.494716312658788</v>
      </c>
      <c r="CG158" s="300"/>
      <c r="CN158" s="281">
        <v>6254</v>
      </c>
      <c r="CO158" s="30" t="s">
        <v>600</v>
      </c>
      <c r="CP158" s="283">
        <f>+insumos!$I$208*12</f>
        <v>0.5334893983701396</v>
      </c>
      <c r="CQ158" s="300" t="s">
        <v>568</v>
      </c>
      <c r="CS158" s="26" t="s">
        <v>515</v>
      </c>
      <c r="CT158" s="30" t="s">
        <v>516</v>
      </c>
      <c r="CU158" s="283">
        <f>+insumos!$G$283</f>
        <v>1.1</v>
      </c>
      <c r="CV158" s="284"/>
    </row>
    <row r="159" spans="2:100" x14ac:dyDescent="0.25">
      <c r="B159" s="281">
        <v>3636</v>
      </c>
      <c r="C159" s="282" t="s">
        <v>550</v>
      </c>
      <c r="D159" s="283">
        <f>+insumos!$H$121</f>
        <v>0.0445</v>
      </c>
      <c r="E159" s="284"/>
      <c r="F159" s="285"/>
      <c r="G159" s="278"/>
      <c r="H159" s="279" t="s">
        <v>134</v>
      </c>
      <c r="I159" s="278"/>
      <c r="J159" s="269"/>
      <c r="K159" s="245"/>
      <c r="L159" s="278"/>
      <c r="M159" s="280" t="s">
        <v>134</v>
      </c>
      <c r="N159" s="278"/>
      <c r="O159" s="245"/>
      <c r="Q159" s="281">
        <v>2037</v>
      </c>
      <c r="R159" s="282" t="s">
        <v>511</v>
      </c>
      <c r="S159" s="283">
        <f>+insumos!$H$268</f>
        <v>0.65</v>
      </c>
      <c r="T159" s="245"/>
      <c r="AA159" s="278"/>
      <c r="AB159" s="279" t="s">
        <v>134</v>
      </c>
      <c r="AC159" s="278"/>
      <c r="AD159" s="245"/>
      <c r="AK159" s="275" t="s">
        <v>492</v>
      </c>
      <c r="AL159" s="276" t="s">
        <v>495</v>
      </c>
      <c r="AM159" s="275" t="s">
        <v>467</v>
      </c>
      <c r="AN159" s="245"/>
      <c r="BE159" s="297"/>
      <c r="BF159" s="298" t="s">
        <v>5</v>
      </c>
      <c r="BG159" s="299">
        <f>SUM(BG147:BG158)</f>
        <v>5.393905900690147</v>
      </c>
      <c r="BH159" s="300"/>
      <c r="BY159" s="281">
        <v>6208</v>
      </c>
      <c r="BZ159" s="282" t="s">
        <v>573</v>
      </c>
      <c r="CA159" s="283">
        <f>insumos!$H$188*21</f>
        <v>1.9127294117647058</v>
      </c>
      <c r="CB159" s="300" t="s">
        <v>660</v>
      </c>
      <c r="CD159" s="281"/>
      <c r="CE159" s="282" t="s">
        <v>587</v>
      </c>
      <c r="CF159" s="304">
        <v>4</v>
      </c>
      <c r="CG159" s="269"/>
      <c r="CN159" s="281">
        <v>5868</v>
      </c>
      <c r="CO159" s="30" t="s">
        <v>605</v>
      </c>
      <c r="CP159" s="283">
        <f>insumos!$I$243*12</f>
        <v>0.22752</v>
      </c>
      <c r="CQ159" s="300" t="s">
        <v>568</v>
      </c>
      <c r="CS159" s="281">
        <v>4986</v>
      </c>
      <c r="CT159" s="30" t="s">
        <v>530</v>
      </c>
      <c r="CU159" s="283">
        <f>insumos!$H$255*3</f>
        <v>0.5699996367390061</v>
      </c>
      <c r="CV159" s="284" t="s">
        <v>526</v>
      </c>
    </row>
    <row r="160" spans="2:100" x14ac:dyDescent="0.25">
      <c r="B160" s="292"/>
      <c r="C160" s="279" t="s">
        <v>553</v>
      </c>
      <c r="D160" s="293"/>
      <c r="E160" s="284"/>
      <c r="F160" s="285"/>
      <c r="G160" s="281">
        <v>5524</v>
      </c>
      <c r="H160" s="1" t="s">
        <v>501</v>
      </c>
      <c r="I160" s="283">
        <f>insumos!$H$217</f>
        <v>0.8950000000000001</v>
      </c>
      <c r="J160" s="269"/>
      <c r="K160" s="245"/>
      <c r="L160" s="281">
        <v>5524</v>
      </c>
      <c r="M160" s="1" t="s">
        <v>501</v>
      </c>
      <c r="N160" s="283">
        <f>insumos!$H$217</f>
        <v>0.8950000000000001</v>
      </c>
      <c r="O160" s="285"/>
      <c r="Q160" s="281">
        <v>4542</v>
      </c>
      <c r="R160" s="282" t="s">
        <v>527</v>
      </c>
      <c r="S160" s="283">
        <f>insumos!$I$35</f>
        <v>0.022058823529411763</v>
      </c>
      <c r="AA160" s="281">
        <v>6184</v>
      </c>
      <c r="AB160" s="1" t="s">
        <v>502</v>
      </c>
      <c r="AC160" s="283">
        <f>insumos!$H$215</f>
        <v>0.6</v>
      </c>
      <c r="AD160" s="245"/>
      <c r="AK160" s="278"/>
      <c r="AL160" s="279" t="s">
        <v>134</v>
      </c>
      <c r="AM160" s="278"/>
      <c r="AN160" s="245"/>
      <c r="BE160" s="281"/>
      <c r="BF160" s="282" t="s">
        <v>587</v>
      </c>
      <c r="BG160" s="304">
        <f>856.11/97</f>
        <v>8.825876288659794</v>
      </c>
      <c r="BH160" s="269"/>
      <c r="BY160" s="281">
        <v>5202</v>
      </c>
      <c r="BZ160" s="282" t="s">
        <v>586</v>
      </c>
      <c r="CA160" s="283">
        <f>insumos!$H$114*21</f>
        <v>0.5532400000000001</v>
      </c>
      <c r="CB160" s="300" t="s">
        <v>660</v>
      </c>
      <c r="CD160" s="281"/>
      <c r="CE160" s="307" t="s">
        <v>599</v>
      </c>
      <c r="CF160" s="308">
        <f>+CF158/CF159</f>
        <v>1.373679078164697</v>
      </c>
      <c r="CG160" s="269"/>
      <c r="CN160" s="297"/>
      <c r="CO160" s="298" t="s">
        <v>5</v>
      </c>
      <c r="CP160" s="299">
        <f>SUM(CP147:CP159)</f>
        <v>5.1987398366878255</v>
      </c>
      <c r="CQ160" s="245"/>
      <c r="CS160" s="26" t="s">
        <v>539</v>
      </c>
      <c r="CT160" s="30" t="s">
        <v>540</v>
      </c>
      <c r="CU160" s="283">
        <f>insumos!$H$45</f>
        <v>0.028</v>
      </c>
      <c r="CV160" s="284"/>
    </row>
    <row r="161" spans="2:100" x14ac:dyDescent="0.25">
      <c r="B161" s="281">
        <v>6210</v>
      </c>
      <c r="C161" s="282" t="s">
        <v>573</v>
      </c>
      <c r="D161" s="283">
        <f>insumos!H184*18</f>
        <v>1.6421999999999999</v>
      </c>
      <c r="E161" s="300" t="s">
        <v>812</v>
      </c>
      <c r="F161" s="291"/>
      <c r="G161" s="281">
        <v>5523</v>
      </c>
      <c r="H161" s="282" t="s">
        <v>508</v>
      </c>
      <c r="I161" s="283">
        <f>+insumos!$H$285</f>
        <v>1.1829611337771098</v>
      </c>
      <c r="J161" s="284"/>
      <c r="K161" s="285"/>
      <c r="L161" s="26" t="s">
        <v>513</v>
      </c>
      <c r="M161" s="30" t="s">
        <v>514</v>
      </c>
      <c r="N161" s="283">
        <f>+insumos!$H$266</f>
        <v>1.1500000000000001</v>
      </c>
      <c r="O161" s="285"/>
      <c r="Q161" s="26">
        <v>3817</v>
      </c>
      <c r="R161" s="243" t="s">
        <v>524</v>
      </c>
      <c r="S161" s="289">
        <f>insumos!$I$103*1.8</f>
        <v>0.02088</v>
      </c>
      <c r="T161" s="285" t="s">
        <v>538</v>
      </c>
      <c r="AA161" s="281">
        <v>2037</v>
      </c>
      <c r="AB161" s="282" t="s">
        <v>511</v>
      </c>
      <c r="AC161" s="283">
        <f>+insumos!$H$268</f>
        <v>0.65</v>
      </c>
      <c r="AD161" s="245"/>
      <c r="AK161" s="281">
        <v>6184</v>
      </c>
      <c r="AL161" s="1" t="s">
        <v>502</v>
      </c>
      <c r="AM161" s="283">
        <f>insumos!$H$215</f>
        <v>0.6</v>
      </c>
      <c r="AN161" s="245"/>
      <c r="BE161" s="281"/>
      <c r="BF161" s="307" t="s">
        <v>599</v>
      </c>
      <c r="BG161" s="308">
        <f>+BG159/BG160</f>
        <v>0.611146782968245</v>
      </c>
      <c r="BH161" s="269"/>
      <c r="BY161" s="281">
        <v>6229</v>
      </c>
      <c r="BZ161" s="30" t="s">
        <v>588</v>
      </c>
      <c r="CA161" s="283">
        <f>insumos!$I$265*21</f>
        <v>0.4519465996925162</v>
      </c>
      <c r="CB161" s="300" t="s">
        <v>660</v>
      </c>
      <c r="CD161" s="311"/>
      <c r="CE161" s="307" t="s">
        <v>604</v>
      </c>
      <c r="CF161" s="308">
        <f>CF160*1.03</f>
        <v>1.4148894505096379</v>
      </c>
      <c r="CG161" s="269"/>
      <c r="CN161" s="281"/>
      <c r="CO161" s="282" t="s">
        <v>587</v>
      </c>
      <c r="CP161" s="304">
        <v>11.11</v>
      </c>
      <c r="CQ161" s="269"/>
      <c r="CS161" s="26">
        <v>3817</v>
      </c>
      <c r="CT161" s="243" t="s">
        <v>524</v>
      </c>
      <c r="CU161" s="289">
        <f>insumos!$I$103*1.8</f>
        <v>0.02088</v>
      </c>
      <c r="CV161" s="290" t="s">
        <v>537</v>
      </c>
    </row>
    <row r="162" spans="2:100" x14ac:dyDescent="0.25">
      <c r="B162" s="281">
        <v>5202</v>
      </c>
      <c r="C162" s="282" t="s">
        <v>586</v>
      </c>
      <c r="D162" s="283">
        <f>insumos!H114*18</f>
        <v>0.4742057142857143</v>
      </c>
      <c r="E162" s="300" t="s">
        <v>812</v>
      </c>
      <c r="F162" s="291"/>
      <c r="G162" s="281">
        <v>4542</v>
      </c>
      <c r="H162" s="282" t="s">
        <v>527</v>
      </c>
      <c r="I162" s="283">
        <f>insumos!$I$35</f>
        <v>0.022058823529411763</v>
      </c>
      <c r="J162" s="284"/>
      <c r="K162" s="285"/>
      <c r="L162" s="281">
        <v>4542</v>
      </c>
      <c r="M162" s="286" t="s">
        <v>527</v>
      </c>
      <c r="N162" s="283">
        <f>insumos!$I$35</f>
        <v>0.022058823529411763</v>
      </c>
      <c r="O162" s="285"/>
      <c r="Q162" s="26">
        <v>2173</v>
      </c>
      <c r="R162" s="243" t="s">
        <v>536</v>
      </c>
      <c r="S162" s="289">
        <f>+insumos!$H$149*2</f>
        <v>0.0349502662966019</v>
      </c>
      <c r="T162" s="1" t="s">
        <v>547</v>
      </c>
      <c r="AA162" s="26" t="s">
        <v>533</v>
      </c>
      <c r="AB162" s="30" t="s">
        <v>534</v>
      </c>
      <c r="AC162" s="283">
        <f>insumos!$I$33</f>
        <v>0.049999554426770045</v>
      </c>
      <c r="AD162" s="287"/>
      <c r="AK162" s="281">
        <v>5523</v>
      </c>
      <c r="AL162" s="282" t="s">
        <v>508</v>
      </c>
      <c r="AM162" s="283">
        <f>+insumos!$H$285</f>
        <v>1.1829611337771098</v>
      </c>
      <c r="AN162" s="245"/>
      <c r="BE162" s="311"/>
      <c r="BF162" s="307" t="s">
        <v>604</v>
      </c>
      <c r="BG162" s="308">
        <f>BG161*1.03</f>
        <v>0.6294811864572923</v>
      </c>
      <c r="BH162" s="269"/>
      <c r="BY162" s="281">
        <v>6254</v>
      </c>
      <c r="BZ162" s="30" t="s">
        <v>600</v>
      </c>
      <c r="CA162" s="283">
        <f>+insumos!$I$208*21</f>
        <v>0.9336064471477443</v>
      </c>
      <c r="CB162" s="300" t="s">
        <v>660</v>
      </c>
      <c r="CN162" s="281"/>
      <c r="CO162" s="307" t="s">
        <v>599</v>
      </c>
      <c r="CP162" s="308">
        <f>+CP160/CP161</f>
        <v>0.4679333786397683</v>
      </c>
      <c r="CQ162" s="269"/>
      <c r="CS162" s="26">
        <v>2173</v>
      </c>
      <c r="CT162" s="243" t="s">
        <v>536</v>
      </c>
      <c r="CU162" s="289">
        <f>+insumos!$H$149*2</f>
        <v>0.0349502662966019</v>
      </c>
      <c r="CV162" s="291" t="s">
        <v>547</v>
      </c>
    </row>
    <row r="163" spans="2:100" x14ac:dyDescent="0.25">
      <c r="B163" s="281">
        <v>6229</v>
      </c>
      <c r="C163" s="30" t="s">
        <v>588</v>
      </c>
      <c r="D163" s="283">
        <f>insumos!I265*18</f>
        <v>0.38738279973644246</v>
      </c>
      <c r="E163" s="300" t="s">
        <v>812</v>
      </c>
      <c r="F163" s="291"/>
      <c r="G163" s="26">
        <v>3817</v>
      </c>
      <c r="H163" s="243" t="s">
        <v>524</v>
      </c>
      <c r="I163" s="289">
        <f>insumos!$I$103*1.8</f>
        <v>0.02088</v>
      </c>
      <c r="J163" s="290" t="s">
        <v>537</v>
      </c>
      <c r="K163" s="285"/>
      <c r="L163" s="26">
        <v>3817</v>
      </c>
      <c r="M163" s="288" t="s">
        <v>524</v>
      </c>
      <c r="N163" s="289">
        <f>insumos!$I$103*1.8</f>
        <v>0.02088</v>
      </c>
      <c r="O163" s="290" t="s">
        <v>537</v>
      </c>
      <c r="Q163" s="281">
        <v>3636</v>
      </c>
      <c r="R163" s="282" t="s">
        <v>550</v>
      </c>
      <c r="S163" s="283">
        <f>+insumos!$H$121</f>
        <v>0.0445</v>
      </c>
      <c r="T163" s="245"/>
      <c r="AA163" s="26">
        <v>3817</v>
      </c>
      <c r="AB163" s="243" t="s">
        <v>524</v>
      </c>
      <c r="AC163" s="289">
        <f>insumos!$I$103*1.8</f>
        <v>0.02088</v>
      </c>
      <c r="AD163" s="285" t="s">
        <v>538</v>
      </c>
      <c r="AK163" s="281">
        <v>4542</v>
      </c>
      <c r="AL163" s="282" t="s">
        <v>527</v>
      </c>
      <c r="AM163" s="283">
        <f>insumos!$I$35</f>
        <v>0.022058823529411763</v>
      </c>
      <c r="AN163" s="1" t="s">
        <v>547</v>
      </c>
      <c r="BY163" s="281">
        <v>5868</v>
      </c>
      <c r="BZ163" s="30" t="s">
        <v>605</v>
      </c>
      <c r="CA163" s="283">
        <f>insumos!$I$243*21</f>
        <v>0.39816</v>
      </c>
      <c r="CB163" s="300" t="s">
        <v>660</v>
      </c>
      <c r="CD163" s="263">
        <v>4545916</v>
      </c>
      <c r="CE163" s="264" t="s">
        <v>813</v>
      </c>
      <c r="CF163" s="267"/>
      <c r="CG163" s="269"/>
      <c r="CN163" s="311"/>
      <c r="CO163" s="307" t="s">
        <v>604</v>
      </c>
      <c r="CP163" s="308">
        <f>CP162*1.03</f>
        <v>0.4819713799989614</v>
      </c>
      <c r="CQ163" s="245"/>
      <c r="CS163" s="281">
        <v>3636</v>
      </c>
      <c r="CT163" s="282" t="s">
        <v>550</v>
      </c>
      <c r="CU163" s="283">
        <f>+insumos!$H$121</f>
        <v>0.0445</v>
      </c>
      <c r="CV163" s="284"/>
    </row>
    <row r="164" spans="2:100" x14ac:dyDescent="0.25">
      <c r="B164" s="281">
        <v>6254</v>
      </c>
      <c r="C164" s="30" t="s">
        <v>600</v>
      </c>
      <c r="D164" s="283">
        <f>+insumos!I208*18</f>
        <v>0.8002340975552095</v>
      </c>
      <c r="E164" s="300" t="s">
        <v>812</v>
      </c>
      <c r="F164" s="291"/>
      <c r="G164" s="26">
        <v>2173</v>
      </c>
      <c r="H164" s="243" t="s">
        <v>536</v>
      </c>
      <c r="I164" s="289">
        <f>+insumos!$H$149*2</f>
        <v>0.0349502662966019</v>
      </c>
      <c r="J164" s="291" t="s">
        <v>547</v>
      </c>
      <c r="K164" s="290"/>
      <c r="L164" s="26">
        <v>2173</v>
      </c>
      <c r="M164" s="288" t="s">
        <v>536</v>
      </c>
      <c r="N164" s="289">
        <f>+insumos!$H$149*2</f>
        <v>0.0349502662966019</v>
      </c>
      <c r="O164" s="291" t="s">
        <v>547</v>
      </c>
      <c r="Q164" s="292"/>
      <c r="R164" s="279" t="s">
        <v>553</v>
      </c>
      <c r="S164" s="293"/>
      <c r="T164" s="245"/>
      <c r="AA164" s="26">
        <v>2173</v>
      </c>
      <c r="AB164" s="243" t="s">
        <v>536</v>
      </c>
      <c r="AC164" s="289">
        <f>+insumos!$H$149*2</f>
        <v>0.0349502662966019</v>
      </c>
      <c r="AD164" s="1" t="s">
        <v>547</v>
      </c>
      <c r="AK164" s="26">
        <v>3817</v>
      </c>
      <c r="AL164" s="243" t="s">
        <v>524</v>
      </c>
      <c r="AM164" s="289">
        <f>insumos!$I$103*1.8</f>
        <v>0.02088</v>
      </c>
      <c r="AN164" s="285" t="s">
        <v>538</v>
      </c>
      <c r="BE164" s="263">
        <v>442025</v>
      </c>
      <c r="BF164" s="264" t="s">
        <v>814</v>
      </c>
      <c r="BG164" s="267"/>
      <c r="BH164" s="269"/>
      <c r="BY164" s="297"/>
      <c r="BZ164" s="298" t="s">
        <v>5</v>
      </c>
      <c r="CA164" s="299">
        <f>SUM(CA151:CA163)</f>
        <v>7.4000320767731</v>
      </c>
      <c r="CB164" s="245"/>
      <c r="CD164" s="275" t="s">
        <v>492</v>
      </c>
      <c r="CE164" s="276" t="s">
        <v>495</v>
      </c>
      <c r="CF164" s="275" t="s">
        <v>467</v>
      </c>
      <c r="CG164" s="269"/>
      <c r="CS164" s="292"/>
      <c r="CT164" s="279" t="s">
        <v>553</v>
      </c>
      <c r="CU164" s="293"/>
      <c r="CV164" s="284"/>
    </row>
    <row r="165" spans="2:100" x14ac:dyDescent="0.25">
      <c r="B165" s="281">
        <v>5868</v>
      </c>
      <c r="C165" s="30" t="s">
        <v>605</v>
      </c>
      <c r="D165" s="283">
        <f>insumos!I243*18</f>
        <v>0.34128000000000003</v>
      </c>
      <c r="E165" s="300" t="s">
        <v>812</v>
      </c>
      <c r="F165" s="291"/>
      <c r="G165" s="281">
        <v>3636</v>
      </c>
      <c r="H165" s="282" t="s">
        <v>550</v>
      </c>
      <c r="I165" s="283">
        <f>+insumos!$H$121</f>
        <v>0.0445</v>
      </c>
      <c r="K165" s="291"/>
      <c r="L165" s="281">
        <v>3636</v>
      </c>
      <c r="M165" s="286" t="s">
        <v>550</v>
      </c>
      <c r="N165" s="283">
        <f>+insumos!$H$121</f>
        <v>0.0445</v>
      </c>
      <c r="O165" s="285"/>
      <c r="Q165" s="26" t="s">
        <v>691</v>
      </c>
      <c r="R165" s="1" t="s">
        <v>692</v>
      </c>
      <c r="S165" s="283">
        <f>insumos!$H$93*4</f>
        <v>0.456</v>
      </c>
      <c r="T165" s="1" t="s">
        <v>531</v>
      </c>
      <c r="AA165" s="281">
        <v>3636</v>
      </c>
      <c r="AB165" s="282" t="s">
        <v>550</v>
      </c>
      <c r="AC165" s="283">
        <f>+insumos!$H$121</f>
        <v>0.0445</v>
      </c>
      <c r="AD165" s="245"/>
      <c r="AK165" s="26">
        <v>2173</v>
      </c>
      <c r="AL165" s="243" t="s">
        <v>536</v>
      </c>
      <c r="AM165" s="289">
        <f>+insumos!$H$149*2</f>
        <v>0.0349502662966019</v>
      </c>
      <c r="AN165" s="285"/>
      <c r="BE165" s="275" t="s">
        <v>492</v>
      </c>
      <c r="BF165" s="276" t="s">
        <v>495</v>
      </c>
      <c r="BG165" s="275" t="s">
        <v>467</v>
      </c>
      <c r="BH165" s="269"/>
      <c r="BY165" s="281"/>
      <c r="BZ165" s="282" t="s">
        <v>587</v>
      </c>
      <c r="CA165" s="304">
        <v>7.87</v>
      </c>
      <c r="CB165" s="269"/>
      <c r="CD165" s="278"/>
      <c r="CE165" s="279" t="s">
        <v>134</v>
      </c>
      <c r="CF165" s="278"/>
      <c r="CG165" s="269"/>
      <c r="CN165" s="259">
        <v>4865060</v>
      </c>
      <c r="CO165" s="260" t="s">
        <v>815</v>
      </c>
      <c r="CP165" s="259"/>
      <c r="CQ165" s="272"/>
      <c r="CS165" s="26" t="s">
        <v>566</v>
      </c>
      <c r="CT165" s="30" t="s">
        <v>567</v>
      </c>
      <c r="CU165" s="283">
        <f>insumos!$H$113*20</f>
        <v>0.540189077243429</v>
      </c>
      <c r="CV165" s="296" t="s">
        <v>707</v>
      </c>
    </row>
    <row r="166" spans="2:100" x14ac:dyDescent="0.25">
      <c r="B166" s="297"/>
      <c r="C166" s="298" t="s">
        <v>5</v>
      </c>
      <c r="D166" s="299">
        <f>SUM(D153:D165)</f>
        <v>6.297738434516718</v>
      </c>
      <c r="E166" s="269"/>
      <c r="F166" s="245"/>
      <c r="G166" s="292"/>
      <c r="H166" s="279" t="s">
        <v>553</v>
      </c>
      <c r="I166" s="293"/>
      <c r="J166" s="284"/>
      <c r="K166" s="285"/>
      <c r="L166" s="292"/>
      <c r="M166" s="280" t="s">
        <v>553</v>
      </c>
      <c r="N166" s="293"/>
      <c r="O166" s="285"/>
      <c r="Q166" s="26" t="s">
        <v>658</v>
      </c>
      <c r="R166" s="30" t="s">
        <v>659</v>
      </c>
      <c r="S166" s="283">
        <f>insumos!$H$135*4</f>
        <v>0.082</v>
      </c>
      <c r="T166" s="1" t="s">
        <v>531</v>
      </c>
      <c r="AA166" s="292"/>
      <c r="AB166" s="279" t="s">
        <v>553</v>
      </c>
      <c r="AC166" s="293"/>
      <c r="AD166" s="245"/>
      <c r="AK166" s="281">
        <v>3636</v>
      </c>
      <c r="AL166" s="282" t="s">
        <v>550</v>
      </c>
      <c r="AM166" s="283">
        <f>+insumos!$H$121</f>
        <v>0.0445</v>
      </c>
      <c r="AN166" s="1" t="s">
        <v>547</v>
      </c>
      <c r="BE166" s="278"/>
      <c r="BF166" s="279" t="s">
        <v>134</v>
      </c>
      <c r="BG166" s="278"/>
      <c r="BH166" s="269"/>
      <c r="BY166" s="281"/>
      <c r="BZ166" s="307" t="s">
        <v>599</v>
      </c>
      <c r="CA166" s="308">
        <f>+CA164/CA165</f>
        <v>0.9402836183955655</v>
      </c>
      <c r="CB166" s="269"/>
      <c r="CD166" s="281">
        <v>3741</v>
      </c>
      <c r="CE166" s="282" t="s">
        <v>500</v>
      </c>
      <c r="CF166" s="283">
        <f>insumos!$G$213</f>
        <v>0.8355871886120997</v>
      </c>
      <c r="CG166" s="284"/>
      <c r="CN166" s="275" t="s">
        <v>492</v>
      </c>
      <c r="CO166" s="276" t="s">
        <v>495</v>
      </c>
      <c r="CP166" s="275" t="s">
        <v>467</v>
      </c>
      <c r="CQ166" s="245"/>
      <c r="CS166" s="281">
        <v>6229</v>
      </c>
      <c r="CT166" s="30" t="s">
        <v>588</v>
      </c>
      <c r="CU166" s="283">
        <f>insumos!$I$265*20</f>
        <v>0.43042533304049163</v>
      </c>
      <c r="CV166" s="296" t="s">
        <v>707</v>
      </c>
    </row>
    <row r="167" spans="2:100" x14ac:dyDescent="0.25">
      <c r="B167" s="281"/>
      <c r="C167" s="282" t="s">
        <v>587</v>
      </c>
      <c r="D167" s="281">
        <v>10.35</v>
      </c>
      <c r="E167" s="269"/>
      <c r="F167" s="245"/>
      <c r="G167" s="26" t="s">
        <v>556</v>
      </c>
      <c r="H167" s="30" t="s">
        <v>557</v>
      </c>
      <c r="I167" s="283">
        <f>insumos!$H$23*5</f>
        <v>1.4399993281375976</v>
      </c>
      <c r="J167" s="291" t="s">
        <v>652</v>
      </c>
      <c r="K167" s="285"/>
      <c r="L167" s="319"/>
      <c r="M167" s="320" t="s">
        <v>718</v>
      </c>
      <c r="N167" s="321"/>
      <c r="O167" s="291"/>
      <c r="Q167" s="297"/>
      <c r="R167" s="298" t="s">
        <v>5</v>
      </c>
      <c r="S167" s="299">
        <f>SUM(S158:S166)</f>
        <v>1.9103890898260136</v>
      </c>
      <c r="T167" s="245"/>
      <c r="AA167" s="26"/>
      <c r="AB167" s="30"/>
      <c r="AC167" s="283"/>
      <c r="AD167" s="1"/>
      <c r="AK167" s="281"/>
      <c r="AL167" s="282"/>
      <c r="AM167" s="283"/>
      <c r="AN167" s="245"/>
      <c r="BE167" s="281">
        <v>3741</v>
      </c>
      <c r="BF167" s="282" t="s">
        <v>500</v>
      </c>
      <c r="BG167" s="283">
        <f>insumos!$G$213</f>
        <v>0.8355871886120997</v>
      </c>
      <c r="BH167" s="284"/>
      <c r="BY167" s="311"/>
      <c r="BZ167" s="307" t="s">
        <v>604</v>
      </c>
      <c r="CA167" s="308">
        <f>CA166*1.03</f>
        <v>0.9684921269474325</v>
      </c>
      <c r="CB167" s="245"/>
      <c r="CD167" s="26" t="s">
        <v>515</v>
      </c>
      <c r="CE167" s="30" t="s">
        <v>516</v>
      </c>
      <c r="CF167" s="283">
        <f>+insumos!$G$283</f>
        <v>1.1</v>
      </c>
      <c r="CG167" s="284"/>
      <c r="CN167" s="278"/>
      <c r="CO167" s="279" t="s">
        <v>134</v>
      </c>
      <c r="CP167" s="278"/>
      <c r="CQ167" s="245"/>
      <c r="CS167" s="281">
        <v>6254</v>
      </c>
      <c r="CT167" s="30" t="s">
        <v>600</v>
      </c>
      <c r="CU167" s="283">
        <f>+insumos!$I$208*20</f>
        <v>0.889148997283566</v>
      </c>
      <c r="CV167" s="296" t="s">
        <v>707</v>
      </c>
    </row>
    <row r="168" spans="2:100" x14ac:dyDescent="0.25">
      <c r="B168" s="281"/>
      <c r="C168" s="307" t="s">
        <v>599</v>
      </c>
      <c r="D168" s="308">
        <f>+D166/D167</f>
        <v>0.608477143431567</v>
      </c>
      <c r="E168" s="269"/>
      <c r="F168" s="245"/>
      <c r="G168" s="26" t="s">
        <v>566</v>
      </c>
      <c r="H168" s="30" t="s">
        <v>567</v>
      </c>
      <c r="I168" s="283">
        <f>insumos!$H$113*5</f>
        <v>0.13504726931085725</v>
      </c>
      <c r="J168" s="291" t="s">
        <v>652</v>
      </c>
      <c r="K168" s="291"/>
      <c r="L168" s="26" t="s">
        <v>566</v>
      </c>
      <c r="M168" s="30" t="s">
        <v>567</v>
      </c>
      <c r="N168" s="283">
        <f>insumos!$H$113*10</f>
        <v>0.2700945386217145</v>
      </c>
      <c r="O168" s="291" t="s">
        <v>563</v>
      </c>
      <c r="Q168" s="281"/>
      <c r="R168" s="282" t="s">
        <v>587</v>
      </c>
      <c r="S168" s="304">
        <f>81962.6/4534</f>
        <v>18.077326863696516</v>
      </c>
      <c r="T168" s="245"/>
      <c r="AA168" s="26"/>
      <c r="AB168" s="30"/>
      <c r="AC168" s="283"/>
      <c r="AD168" s="1"/>
      <c r="AK168" s="292"/>
      <c r="AL168" s="279" t="s">
        <v>553</v>
      </c>
      <c r="AM168" s="293"/>
      <c r="AN168" s="245"/>
      <c r="BE168" s="26" t="s">
        <v>517</v>
      </c>
      <c r="BF168" s="30" t="s">
        <v>518</v>
      </c>
      <c r="BG168" s="283">
        <f>+insumos!$H$263</f>
        <v>1.6</v>
      </c>
      <c r="BH168" s="284"/>
      <c r="CD168" s="281">
        <v>4986</v>
      </c>
      <c r="CE168" s="30" t="s">
        <v>530</v>
      </c>
      <c r="CF168" s="283">
        <f>insumos!$H$255*3</f>
        <v>0.5699996367390061</v>
      </c>
      <c r="CG168" s="284" t="s">
        <v>526</v>
      </c>
      <c r="CN168" s="281">
        <v>3741</v>
      </c>
      <c r="CO168" s="282" t="s">
        <v>500</v>
      </c>
      <c r="CP168" s="31">
        <f>insumos!$G$213</f>
        <v>0.8355871886120997</v>
      </c>
      <c r="CQ168" s="245"/>
      <c r="CS168" s="26" t="s">
        <v>816</v>
      </c>
      <c r="CT168" s="30" t="s">
        <v>817</v>
      </c>
      <c r="CU168" s="283">
        <f>insumos!$H$133*20</f>
        <v>0.3</v>
      </c>
      <c r="CV168" s="296" t="s">
        <v>707</v>
      </c>
    </row>
    <row r="169" spans="2:100" x14ac:dyDescent="0.25">
      <c r="B169" s="311"/>
      <c r="C169" s="307" t="s">
        <v>604</v>
      </c>
      <c r="D169" s="308">
        <f>D168*1.03</f>
        <v>0.626731457734514</v>
      </c>
      <c r="E169" s="269"/>
      <c r="F169" s="245"/>
      <c r="G169" s="297"/>
      <c r="H169" s="298" t="s">
        <v>5</v>
      </c>
      <c r="I169" s="299">
        <f>SUM(I160:I168)</f>
        <v>3.7753968210515785</v>
      </c>
      <c r="J169" s="300"/>
      <c r="K169" s="291"/>
      <c r="L169" s="297"/>
      <c r="M169" s="303" t="s">
        <v>5</v>
      </c>
      <c r="N169" s="299">
        <f>SUM(N160:N168)</f>
        <v>2.437483628447729</v>
      </c>
      <c r="O169" s="245"/>
      <c r="Q169" s="281"/>
      <c r="R169" s="307" t="s">
        <v>599</v>
      </c>
      <c r="S169" s="308">
        <f>+S167/S168</f>
        <v>0.10567873802528403</v>
      </c>
      <c r="T169" s="245"/>
      <c r="AA169" s="297"/>
      <c r="AB169" s="298" t="s">
        <v>5</v>
      </c>
      <c r="AC169" s="299">
        <f>SUM(AC160:AC168)</f>
        <v>1.4003298207233719</v>
      </c>
      <c r="AD169" s="245"/>
      <c r="AK169" s="26" t="s">
        <v>566</v>
      </c>
      <c r="AL169" s="30" t="s">
        <v>567</v>
      </c>
      <c r="AM169" s="283">
        <f>insumos!$H$113*8</f>
        <v>0.2160756308973716</v>
      </c>
      <c r="AN169" s="1" t="s">
        <v>561</v>
      </c>
      <c r="BE169" s="281">
        <v>4653</v>
      </c>
      <c r="BF169" s="282" t="s">
        <v>525</v>
      </c>
      <c r="BG169" s="283">
        <f>insumos!$H$254</f>
        <v>0.18640596105732624</v>
      </c>
      <c r="BH169" s="284" t="s">
        <v>723</v>
      </c>
      <c r="BY169" s="263">
        <v>4543032</v>
      </c>
      <c r="BZ169" s="264" t="s">
        <v>818</v>
      </c>
      <c r="CA169" s="267"/>
      <c r="CB169" s="269"/>
      <c r="CD169" s="26" t="s">
        <v>539</v>
      </c>
      <c r="CE169" s="30" t="s">
        <v>540</v>
      </c>
      <c r="CF169" s="283">
        <f>insumos!$H$45</f>
        <v>0.028</v>
      </c>
      <c r="CG169" s="284"/>
      <c r="CN169" s="281">
        <v>3759</v>
      </c>
      <c r="CO169" s="1" t="s">
        <v>507</v>
      </c>
      <c r="CP169" s="31">
        <f>+insumos!$G$284</f>
        <v>1.1352416613292604</v>
      </c>
      <c r="CQ169" s="245"/>
      <c r="CS169" s="297"/>
      <c r="CT169" s="298" t="s">
        <v>5</v>
      </c>
      <c r="CU169" s="299">
        <f>SUM(CU157:CU168)</f>
        <v>4.793680499215195</v>
      </c>
      <c r="CV169" s="300"/>
    </row>
    <row r="170" spans="2:100" x14ac:dyDescent="0.25">
      <c r="B170" s="245"/>
      <c r="C170" s="245"/>
      <c r="D170" s="245"/>
      <c r="E170" s="245"/>
      <c r="G170" s="281"/>
      <c r="H170" s="282" t="s">
        <v>587</v>
      </c>
      <c r="I170" s="281">
        <v>20.7</v>
      </c>
      <c r="J170" s="269"/>
      <c r="K170" s="245"/>
      <c r="L170" s="281"/>
      <c r="M170" s="286" t="s">
        <v>587</v>
      </c>
      <c r="N170" s="304">
        <f>6344.59/436</f>
        <v>14.551811926605504</v>
      </c>
      <c r="O170" s="245"/>
      <c r="Q170" s="311"/>
      <c r="R170" s="307" t="s">
        <v>604</v>
      </c>
      <c r="S170" s="308">
        <f>S169*1.03</f>
        <v>0.10884910016604256</v>
      </c>
      <c r="AA170" s="281"/>
      <c r="AB170" s="282" t="s">
        <v>587</v>
      </c>
      <c r="AC170" s="304">
        <f>146362.59/5379</f>
        <v>27.21</v>
      </c>
      <c r="AD170" s="245"/>
      <c r="AK170" s="26" t="s">
        <v>697</v>
      </c>
      <c r="AL170" s="30" t="s">
        <v>698</v>
      </c>
      <c r="AM170" s="283">
        <f>insumos!$H$24*8</f>
        <v>1.768</v>
      </c>
      <c r="AN170" s="1" t="s">
        <v>561</v>
      </c>
      <c r="BE170" s="26" t="s">
        <v>541</v>
      </c>
      <c r="BF170" s="30" t="s">
        <v>542</v>
      </c>
      <c r="BG170" s="283">
        <f>insumos!$H$50</f>
        <v>0.027941176470588237</v>
      </c>
      <c r="BH170" s="284"/>
      <c r="BY170" s="275" t="s">
        <v>492</v>
      </c>
      <c r="BZ170" s="276" t="s">
        <v>495</v>
      </c>
      <c r="CA170" s="275" t="s">
        <v>467</v>
      </c>
      <c r="CB170" s="269"/>
      <c r="CD170" s="26">
        <v>3817</v>
      </c>
      <c r="CE170" s="243" t="s">
        <v>524</v>
      </c>
      <c r="CF170" s="289">
        <f>insumos!$I$103*1.8</f>
        <v>0.02088</v>
      </c>
      <c r="CG170" s="290" t="s">
        <v>537</v>
      </c>
      <c r="CN170" s="281">
        <v>4653</v>
      </c>
      <c r="CO170" s="282" t="s">
        <v>525</v>
      </c>
      <c r="CP170" s="283">
        <f>insumos!$H$254*4</f>
        <v>0.7456238442293049</v>
      </c>
      <c r="CQ170" s="284" t="s">
        <v>531</v>
      </c>
      <c r="CS170" s="281"/>
      <c r="CT170" s="282" t="s">
        <v>587</v>
      </c>
      <c r="CU170" s="304">
        <v>9.84</v>
      </c>
      <c r="CV170" s="269"/>
    </row>
    <row r="171" spans="2:100" x14ac:dyDescent="0.25">
      <c r="B171" s="263">
        <v>439035</v>
      </c>
      <c r="C171" s="264" t="s">
        <v>618</v>
      </c>
      <c r="D171" s="267">
        <v>305</v>
      </c>
      <c r="E171" s="272">
        <f>D171/E2</f>
        <v>7.575757575757576</v>
      </c>
      <c r="F171" s="245"/>
      <c r="G171" s="281"/>
      <c r="H171" s="307" t="s">
        <v>599</v>
      </c>
      <c r="I171" s="308">
        <f>+I169/I170</f>
        <v>0.18238631985756418</v>
      </c>
      <c r="J171" s="269"/>
      <c r="K171" s="245"/>
      <c r="L171" s="281"/>
      <c r="M171" s="310" t="s">
        <v>599</v>
      </c>
      <c r="N171" s="308">
        <f>+N169/N170</f>
        <v>0.16750378858258924</v>
      </c>
      <c r="O171" s="245"/>
      <c r="AA171" s="281"/>
      <c r="AB171" s="307" t="s">
        <v>599</v>
      </c>
      <c r="AC171" s="308">
        <f>+AC169/AC170</f>
        <v>0.05146379348487217</v>
      </c>
      <c r="AD171" s="245"/>
      <c r="AK171" s="297"/>
      <c r="AL171" s="298" t="s">
        <v>5</v>
      </c>
      <c r="AM171" s="299">
        <f>SUM(AM161:AM170)</f>
        <v>3.8894258545004945</v>
      </c>
      <c r="AN171" s="245"/>
      <c r="BE171" s="26">
        <v>3817</v>
      </c>
      <c r="BF171" s="243" t="s">
        <v>524</v>
      </c>
      <c r="BG171" s="289">
        <f>insumos!$I$103*1.8</f>
        <v>0.02088</v>
      </c>
      <c r="BH171" s="290" t="s">
        <v>537</v>
      </c>
      <c r="BY171" s="278"/>
      <c r="BZ171" s="279" t="s">
        <v>134</v>
      </c>
      <c r="CA171" s="278"/>
      <c r="CB171" s="269"/>
      <c r="CD171" s="26">
        <v>2173</v>
      </c>
      <c r="CE171" s="243" t="s">
        <v>536</v>
      </c>
      <c r="CF171" s="289">
        <f>+insumos!$H$149*2</f>
        <v>0.0349502662966019</v>
      </c>
      <c r="CG171" s="291" t="s">
        <v>547</v>
      </c>
      <c r="CN171" s="281">
        <v>4541</v>
      </c>
      <c r="CO171" s="282" t="s">
        <v>529</v>
      </c>
      <c r="CP171" s="283">
        <f>insumos!$H$43</f>
        <v>0.022058823529411766</v>
      </c>
      <c r="CQ171" s="245"/>
      <c r="CS171" s="281"/>
      <c r="CT171" s="307" t="s">
        <v>599</v>
      </c>
      <c r="CU171" s="308">
        <f>+CU169/CU170</f>
        <v>0.48716265235926776</v>
      </c>
      <c r="CV171" s="269"/>
    </row>
    <row r="172" spans="2:100" x14ac:dyDescent="0.25">
      <c r="B172" s="275" t="s">
        <v>492</v>
      </c>
      <c r="C172" s="276" t="s">
        <v>495</v>
      </c>
      <c r="D172" s="275" t="s">
        <v>467</v>
      </c>
      <c r="E172" s="269"/>
      <c r="F172" s="245"/>
      <c r="G172" s="311"/>
      <c r="H172" s="307" t="s">
        <v>604</v>
      </c>
      <c r="I172" s="308">
        <f>I171*1.03</f>
        <v>0.18785790945329112</v>
      </c>
      <c r="J172" s="269"/>
      <c r="K172" s="245"/>
      <c r="L172" s="311"/>
      <c r="M172" s="310" t="s">
        <v>604</v>
      </c>
      <c r="N172" s="308">
        <f>N171*1.03</f>
        <v>0.17252890224006692</v>
      </c>
      <c r="O172" s="245"/>
      <c r="Q172" s="263">
        <v>998028</v>
      </c>
      <c r="R172" s="264" t="s">
        <v>733</v>
      </c>
      <c r="S172" s="267"/>
      <c r="T172" s="245"/>
      <c r="AA172" s="311"/>
      <c r="AB172" s="307" t="s">
        <v>604</v>
      </c>
      <c r="AC172" s="308">
        <f>AC171*1.03</f>
        <v>0.05300770728941834</v>
      </c>
      <c r="AD172" s="245"/>
      <c r="AK172" s="281"/>
      <c r="AL172" s="282" t="s">
        <v>587</v>
      </c>
      <c r="AM172" s="304">
        <f>406.17/34</f>
        <v>11.946176470588236</v>
      </c>
      <c r="AN172" s="245"/>
      <c r="BE172" s="26">
        <v>2173</v>
      </c>
      <c r="BF172" s="243" t="s">
        <v>536</v>
      </c>
      <c r="BG172" s="289">
        <f>+insumos!$H$149*2</f>
        <v>0.0349502662966019</v>
      </c>
      <c r="BH172" s="291" t="s">
        <v>547</v>
      </c>
      <c r="BY172" s="281">
        <v>5524</v>
      </c>
      <c r="BZ172" s="1" t="s">
        <v>501</v>
      </c>
      <c r="CA172" s="283">
        <f>insumos!$H$217</f>
        <v>0.8950000000000001</v>
      </c>
      <c r="CB172" s="269"/>
      <c r="CD172" s="281">
        <v>3636</v>
      </c>
      <c r="CE172" s="282" t="s">
        <v>550</v>
      </c>
      <c r="CF172" s="283">
        <f>+insumos!$H$121</f>
        <v>0.0445</v>
      </c>
      <c r="CG172" s="284"/>
      <c r="CN172" s="26">
        <v>3817</v>
      </c>
      <c r="CO172" s="243" t="s">
        <v>524</v>
      </c>
      <c r="CP172" s="289">
        <f>insumos!$I$103*1.8</f>
        <v>0.02088</v>
      </c>
      <c r="CQ172" s="1" t="s">
        <v>538</v>
      </c>
      <c r="CS172" s="311"/>
      <c r="CT172" s="307" t="s">
        <v>604</v>
      </c>
      <c r="CU172" s="308">
        <f>CU171*1.03</f>
        <v>0.5017775319300458</v>
      </c>
      <c r="CV172" s="269"/>
    </row>
    <row r="173" spans="2:95" x14ac:dyDescent="0.25">
      <c r="B173" s="278"/>
      <c r="C173" s="279" t="s">
        <v>134</v>
      </c>
      <c r="D173" s="278"/>
      <c r="E173" s="269"/>
      <c r="F173" s="245"/>
      <c r="G173" s="290"/>
      <c r="H173" s="290"/>
      <c r="I173" s="290"/>
      <c r="J173" s="269"/>
      <c r="K173" s="245"/>
      <c r="L173" s="245"/>
      <c r="M173" s="245"/>
      <c r="N173" s="245"/>
      <c r="O173" s="245"/>
      <c r="Q173" s="275" t="s">
        <v>492</v>
      </c>
      <c r="R173" s="276" t="s">
        <v>495</v>
      </c>
      <c r="S173" s="275" t="s">
        <v>467</v>
      </c>
      <c r="T173" s="245"/>
      <c r="AK173" s="281"/>
      <c r="AL173" s="307" t="s">
        <v>599</v>
      </c>
      <c r="AM173" s="308">
        <f>+AM171/AM172</f>
        <v>0.32557913940718614</v>
      </c>
      <c r="AN173" s="245"/>
      <c r="BE173" s="281">
        <v>3636</v>
      </c>
      <c r="BF173" s="282" t="s">
        <v>550</v>
      </c>
      <c r="BG173" s="283">
        <f>+insumos!$H$121</f>
        <v>0.0445</v>
      </c>
      <c r="BH173" s="284"/>
      <c r="BY173" s="281">
        <v>5523</v>
      </c>
      <c r="BZ173" s="282" t="s">
        <v>508</v>
      </c>
      <c r="CA173" s="283">
        <f>+insumos!$H$285</f>
        <v>1.1829611337771098</v>
      </c>
      <c r="CB173" s="269"/>
      <c r="CD173" s="292"/>
      <c r="CE173" s="279" t="s">
        <v>553</v>
      </c>
      <c r="CF173" s="293"/>
      <c r="CG173" s="284"/>
      <c r="CN173" s="26">
        <v>2173</v>
      </c>
      <c r="CO173" s="243" t="s">
        <v>536</v>
      </c>
      <c r="CP173" s="289">
        <f>+insumos!$H$149*2</f>
        <v>0.0349502662966019</v>
      </c>
      <c r="CQ173" s="1" t="s">
        <v>547</v>
      </c>
    </row>
    <row r="174" spans="2:100" x14ac:dyDescent="0.25">
      <c r="B174" s="281">
        <v>3741</v>
      </c>
      <c r="C174" s="282" t="s">
        <v>500</v>
      </c>
      <c r="D174" s="283">
        <f>insumos!$G$213</f>
        <v>0.8355871886120997</v>
      </c>
      <c r="E174" s="284"/>
      <c r="F174" s="285"/>
      <c r="G174" s="263">
        <v>437660</v>
      </c>
      <c r="H174" s="264" t="s">
        <v>819</v>
      </c>
      <c r="I174" s="267">
        <v>490</v>
      </c>
      <c r="J174" s="326">
        <f>I174/E2</f>
        <v>12.170889220069549</v>
      </c>
      <c r="L174" s="263">
        <v>436229</v>
      </c>
      <c r="M174" s="264" t="s">
        <v>820</v>
      </c>
      <c r="N174" s="265">
        <v>450</v>
      </c>
      <c r="O174" s="266">
        <f>N174/E2</f>
        <v>11.177347242921014</v>
      </c>
      <c r="Q174" s="278"/>
      <c r="R174" s="279" t="s">
        <v>134</v>
      </c>
      <c r="S174" s="278"/>
      <c r="T174" s="245"/>
      <c r="AA174" s="263">
        <v>991097</v>
      </c>
      <c r="AB174" s="264" t="s">
        <v>821</v>
      </c>
      <c r="AC174" s="267"/>
      <c r="AD174" s="245"/>
      <c r="AK174" s="311"/>
      <c r="AL174" s="307" t="s">
        <v>604</v>
      </c>
      <c r="AM174" s="308">
        <f>AM173*1.03</f>
        <v>0.3353465135894017</v>
      </c>
      <c r="AN174" s="245"/>
      <c r="BE174" s="292"/>
      <c r="BF174" s="279" t="s">
        <v>553</v>
      </c>
      <c r="BG174" s="293"/>
      <c r="BH174" s="284"/>
      <c r="BY174" s="281">
        <v>4986</v>
      </c>
      <c r="BZ174" s="1" t="s">
        <v>530</v>
      </c>
      <c r="CA174" s="283">
        <f>insumos!$H$255*3</f>
        <v>0.5699996367390061</v>
      </c>
      <c r="CB174" s="284" t="s">
        <v>526</v>
      </c>
      <c r="CD174" s="26" t="s">
        <v>566</v>
      </c>
      <c r="CE174" s="30" t="s">
        <v>567</v>
      </c>
      <c r="CF174" s="283">
        <f>insumos!$H$113*12</f>
        <v>0.32411344634605743</v>
      </c>
      <c r="CG174" s="296" t="s">
        <v>568</v>
      </c>
      <c r="CN174" s="281">
        <v>3636</v>
      </c>
      <c r="CO174" s="282" t="s">
        <v>550</v>
      </c>
      <c r="CP174" s="283">
        <f>+insumos!$H$121</f>
        <v>0.0445</v>
      </c>
      <c r="CS174" s="263">
        <v>6173931</v>
      </c>
      <c r="CT174" s="264" t="s">
        <v>822</v>
      </c>
      <c r="CU174" s="267"/>
      <c r="CV174" s="269"/>
    </row>
    <row r="175" spans="2:100" x14ac:dyDescent="0.25">
      <c r="B175" s="281">
        <v>3759</v>
      </c>
      <c r="C175" s="1" t="s">
        <v>507</v>
      </c>
      <c r="D175" s="283">
        <f>+insumos!$G$284</f>
        <v>1.1352416613292604</v>
      </c>
      <c r="E175" s="284"/>
      <c r="F175" s="285"/>
      <c r="G175" s="275" t="s">
        <v>492</v>
      </c>
      <c r="H175" s="276" t="s">
        <v>495</v>
      </c>
      <c r="I175" s="275" t="s">
        <v>467</v>
      </c>
      <c r="J175" s="269"/>
      <c r="K175" s="245"/>
      <c r="L175" s="275" t="s">
        <v>492</v>
      </c>
      <c r="M175" s="277" t="s">
        <v>495</v>
      </c>
      <c r="N175" s="275" t="s">
        <v>467</v>
      </c>
      <c r="O175" s="245"/>
      <c r="Q175" s="281">
        <v>6184</v>
      </c>
      <c r="R175" s="1" t="s">
        <v>502</v>
      </c>
      <c r="S175" s="283">
        <f>insumos!$H$215</f>
        <v>0.6</v>
      </c>
      <c r="T175" s="245"/>
      <c r="AA175" s="275" t="s">
        <v>492</v>
      </c>
      <c r="AB175" s="276" t="s">
        <v>495</v>
      </c>
      <c r="AC175" s="275" t="s">
        <v>467</v>
      </c>
      <c r="AD175" s="245"/>
      <c r="BE175" s="26" t="s">
        <v>566</v>
      </c>
      <c r="BF175" s="30" t="s">
        <v>567</v>
      </c>
      <c r="BG175" s="283">
        <f>insumos!$H$113*6</f>
        <v>0.16205672317302872</v>
      </c>
      <c r="BH175" s="300" t="s">
        <v>662</v>
      </c>
      <c r="BY175" s="281">
        <v>4542</v>
      </c>
      <c r="BZ175" s="282" t="s">
        <v>527</v>
      </c>
      <c r="CA175" s="283">
        <f>insumos!$I$35</f>
        <v>0.022058823529411763</v>
      </c>
      <c r="CB175" s="284"/>
      <c r="CD175" s="281">
        <v>6229</v>
      </c>
      <c r="CE175" s="30" t="s">
        <v>588</v>
      </c>
      <c r="CF175" s="283">
        <f>insumos!$I$265*12</f>
        <v>0.25825519982429496</v>
      </c>
      <c r="CG175" s="296" t="s">
        <v>568</v>
      </c>
      <c r="CN175" s="294"/>
      <c r="CO175" s="279" t="s">
        <v>553</v>
      </c>
      <c r="CP175" s="295"/>
      <c r="CS175" s="275" t="s">
        <v>492</v>
      </c>
      <c r="CT175" s="276" t="s">
        <v>495</v>
      </c>
      <c r="CU175" s="275" t="s">
        <v>467</v>
      </c>
      <c r="CV175" s="269"/>
    </row>
    <row r="176" spans="2:100" x14ac:dyDescent="0.25">
      <c r="B176" s="281">
        <v>4653</v>
      </c>
      <c r="C176" s="282" t="s">
        <v>525</v>
      </c>
      <c r="D176" s="283">
        <f>insumos!$H$254</f>
        <v>0.18640596105732624</v>
      </c>
      <c r="E176" s="284"/>
      <c r="F176" s="285"/>
      <c r="G176" s="278"/>
      <c r="H176" s="279" t="s">
        <v>134</v>
      </c>
      <c r="I176" s="278"/>
      <c r="J176" s="269"/>
      <c r="K176" s="245"/>
      <c r="L176" s="278"/>
      <c r="M176" s="280" t="s">
        <v>134</v>
      </c>
      <c r="N176" s="278"/>
      <c r="O176" s="245"/>
      <c r="Q176" s="281">
        <v>2037</v>
      </c>
      <c r="R176" s="282" t="s">
        <v>511</v>
      </c>
      <c r="S176" s="283">
        <f>+insumos!$H$268</f>
        <v>0.65</v>
      </c>
      <c r="T176" s="245"/>
      <c r="AA176" s="278"/>
      <c r="AB176" s="279" t="s">
        <v>134</v>
      </c>
      <c r="AC176" s="278"/>
      <c r="AD176" s="245"/>
      <c r="AK176" s="263">
        <v>1987260</v>
      </c>
      <c r="AL176" s="264" t="s">
        <v>823</v>
      </c>
      <c r="AM176" s="267"/>
      <c r="AN176" s="245"/>
      <c r="BE176" s="281">
        <v>6229</v>
      </c>
      <c r="BF176" s="30" t="s">
        <v>588</v>
      </c>
      <c r="BG176" s="283">
        <f>insumos!$I$265*6</f>
        <v>0.12912759991214748</v>
      </c>
      <c r="BH176" s="300" t="s">
        <v>662</v>
      </c>
      <c r="BY176" s="26">
        <v>3817</v>
      </c>
      <c r="BZ176" s="243" t="s">
        <v>524</v>
      </c>
      <c r="CA176" s="289">
        <f>insumos!$I$103*1.8</f>
        <v>0.02088</v>
      </c>
      <c r="CB176" s="290" t="s">
        <v>537</v>
      </c>
      <c r="CD176" s="281">
        <v>6254</v>
      </c>
      <c r="CE176" s="30" t="s">
        <v>600</v>
      </c>
      <c r="CF176" s="283">
        <f>+insumos!$I$208*12</f>
        <v>0.5334893983701396</v>
      </c>
      <c r="CG176" s="296" t="s">
        <v>568</v>
      </c>
      <c r="CN176" s="26" t="s">
        <v>663</v>
      </c>
      <c r="CO176" s="30" t="s">
        <v>664</v>
      </c>
      <c r="CP176" s="31">
        <f>insumos!$H$183*12</f>
        <v>1.1270553672316383</v>
      </c>
      <c r="CQ176" s="296" t="s">
        <v>568</v>
      </c>
      <c r="CS176" s="278"/>
      <c r="CT176" s="279" t="s">
        <v>134</v>
      </c>
      <c r="CU176" s="278"/>
      <c r="CV176" s="269"/>
    </row>
    <row r="177" spans="2:100" x14ac:dyDescent="0.25">
      <c r="B177" s="281">
        <v>4541</v>
      </c>
      <c r="C177" s="282" t="s">
        <v>528</v>
      </c>
      <c r="D177" s="283">
        <f>insumos!$H$43</f>
        <v>0.022058823529411766</v>
      </c>
      <c r="E177" s="284"/>
      <c r="F177" s="285"/>
      <c r="G177" s="281">
        <v>5524</v>
      </c>
      <c r="H177" s="1" t="s">
        <v>501</v>
      </c>
      <c r="I177" s="283">
        <f>insumos!$H$217</f>
        <v>0.8950000000000001</v>
      </c>
      <c r="J177" s="269"/>
      <c r="K177" s="245"/>
      <c r="L177" s="281">
        <v>5524</v>
      </c>
      <c r="M177" s="1" t="s">
        <v>501</v>
      </c>
      <c r="N177" s="283">
        <f>insumos!$H$217</f>
        <v>0.8950000000000001</v>
      </c>
      <c r="O177" s="285"/>
      <c r="Q177" s="281">
        <v>4542</v>
      </c>
      <c r="R177" s="282" t="s">
        <v>527</v>
      </c>
      <c r="S177" s="283">
        <f>insumos!$I$35</f>
        <v>0.022058823529411763</v>
      </c>
      <c r="AA177" s="281">
        <v>6184</v>
      </c>
      <c r="AB177" s="1" t="s">
        <v>502</v>
      </c>
      <c r="AC177" s="283">
        <f>insumos!$H$215</f>
        <v>0.6</v>
      </c>
      <c r="AD177" s="245"/>
      <c r="AK177" s="275" t="s">
        <v>492</v>
      </c>
      <c r="AL177" s="276" t="s">
        <v>495</v>
      </c>
      <c r="AM177" s="275" t="s">
        <v>467</v>
      </c>
      <c r="AN177" s="245"/>
      <c r="BE177" s="281">
        <v>6254</v>
      </c>
      <c r="BF177" s="30" t="s">
        <v>600</v>
      </c>
      <c r="BG177" s="283">
        <f>+insumos!$I$208*6</f>
        <v>0.2667446991850698</v>
      </c>
      <c r="BH177" s="300" t="s">
        <v>662</v>
      </c>
      <c r="BY177" s="26">
        <v>2173</v>
      </c>
      <c r="BZ177" s="243" t="s">
        <v>536</v>
      </c>
      <c r="CA177" s="289">
        <f>+insumos!$H$149*2</f>
        <v>0.0349502662966019</v>
      </c>
      <c r="CB177" s="291" t="s">
        <v>547</v>
      </c>
      <c r="CD177" s="26" t="s">
        <v>606</v>
      </c>
      <c r="CE177" s="30" t="s">
        <v>607</v>
      </c>
      <c r="CF177" s="283">
        <f>insumos!$H$197*12</f>
        <v>1.7449411764705882</v>
      </c>
      <c r="CG177" s="296" t="s">
        <v>568</v>
      </c>
      <c r="CN177" s="281">
        <v>5202</v>
      </c>
      <c r="CO177" s="282" t="s">
        <v>586</v>
      </c>
      <c r="CP177" s="31">
        <f>insumos!$H$114*12</f>
        <v>0.3161371428571429</v>
      </c>
      <c r="CQ177" s="296" t="s">
        <v>568</v>
      </c>
      <c r="CS177" s="281">
        <v>3741</v>
      </c>
      <c r="CT177" s="282" t="s">
        <v>500</v>
      </c>
      <c r="CU177" s="283">
        <f>insumos!$G$213</f>
        <v>0.8355871886120997</v>
      </c>
      <c r="CV177" s="284"/>
    </row>
    <row r="178" spans="2:100" x14ac:dyDescent="0.25">
      <c r="B178" s="26">
        <v>3817</v>
      </c>
      <c r="C178" s="243" t="s">
        <v>524</v>
      </c>
      <c r="D178" s="289">
        <f>insumos!$I$103*1.8</f>
        <v>0.02088</v>
      </c>
      <c r="E178" s="290" t="s">
        <v>537</v>
      </c>
      <c r="F178" s="290"/>
      <c r="G178" s="281">
        <v>5523</v>
      </c>
      <c r="H178" s="282" t="s">
        <v>508</v>
      </c>
      <c r="I178" s="283">
        <f>+insumos!$H$285</f>
        <v>1.1829611337771098</v>
      </c>
      <c r="J178" s="284"/>
      <c r="K178" s="285"/>
      <c r="L178" s="26" t="s">
        <v>513</v>
      </c>
      <c r="M178" s="30" t="s">
        <v>514</v>
      </c>
      <c r="N178" s="283">
        <f>+insumos!$H$266</f>
        <v>1.1500000000000001</v>
      </c>
      <c r="O178" s="285"/>
      <c r="Q178" s="26">
        <v>3817</v>
      </c>
      <c r="R178" s="243" t="s">
        <v>524</v>
      </c>
      <c r="S178" s="289">
        <f>insumos!$I$103*1.8</f>
        <v>0.02088</v>
      </c>
      <c r="T178" s="285" t="s">
        <v>538</v>
      </c>
      <c r="AA178" s="281">
        <v>2037</v>
      </c>
      <c r="AB178" s="282" t="s">
        <v>511</v>
      </c>
      <c r="AC178" s="283">
        <f>+insumos!$H$268</f>
        <v>0.65</v>
      </c>
      <c r="AD178" s="245"/>
      <c r="AK178" s="278"/>
      <c r="AL178" s="279" t="s">
        <v>134</v>
      </c>
      <c r="AM178" s="278"/>
      <c r="AN178" s="245"/>
      <c r="BE178" s="26" t="s">
        <v>608</v>
      </c>
      <c r="BF178" s="30" t="s">
        <v>609</v>
      </c>
      <c r="BG178" s="283">
        <f>insumos!$H$176*6</f>
        <v>0.324</v>
      </c>
      <c r="BH178" s="300" t="s">
        <v>662</v>
      </c>
      <c r="BY178" s="281">
        <v>3636</v>
      </c>
      <c r="BZ178" s="282" t="s">
        <v>550</v>
      </c>
      <c r="CA178" s="283">
        <f>+insumos!$H$121</f>
        <v>0.0445</v>
      </c>
      <c r="CD178" s="297"/>
      <c r="CE178" s="298" t="s">
        <v>5</v>
      </c>
      <c r="CF178" s="299">
        <f>SUM(CF166:CF177)</f>
        <v>5.494716312658788</v>
      </c>
      <c r="CG178" s="300"/>
      <c r="CN178" s="26" t="s">
        <v>697</v>
      </c>
      <c r="CO178" s="30" t="s">
        <v>698</v>
      </c>
      <c r="CP178" s="283">
        <f>insumos!$H$24*6</f>
        <v>1.326</v>
      </c>
      <c r="CQ178" s="296"/>
      <c r="CS178" s="26" t="s">
        <v>515</v>
      </c>
      <c r="CT178" s="30" t="s">
        <v>516</v>
      </c>
      <c r="CU178" s="283">
        <f>+insumos!$G$283</f>
        <v>1.1</v>
      </c>
      <c r="CV178" s="284"/>
    </row>
    <row r="179" spans="2:100" x14ac:dyDescent="0.25">
      <c r="B179" s="26">
        <v>2173</v>
      </c>
      <c r="C179" s="243" t="s">
        <v>536</v>
      </c>
      <c r="D179" s="289">
        <f>+insumos!$H$149*2</f>
        <v>0.0349502662966019</v>
      </c>
      <c r="E179" s="291" t="s">
        <v>547</v>
      </c>
      <c r="F179" s="291"/>
      <c r="G179" s="281">
        <v>4542</v>
      </c>
      <c r="H179" s="282" t="s">
        <v>527</v>
      </c>
      <c r="I179" s="283">
        <f>insumos!$I$35</f>
        <v>0.022058823529411763</v>
      </c>
      <c r="J179" s="284"/>
      <c r="K179" s="285"/>
      <c r="L179" s="281">
        <v>4542</v>
      </c>
      <c r="M179" s="286" t="s">
        <v>527</v>
      </c>
      <c r="N179" s="283">
        <f>insumos!$I$35</f>
        <v>0.022058823529411763</v>
      </c>
      <c r="O179" s="285"/>
      <c r="Q179" s="26">
        <v>2173</v>
      </c>
      <c r="R179" s="243" t="s">
        <v>536</v>
      </c>
      <c r="S179" s="289">
        <f>+insumos!$H$149*2</f>
        <v>0.0349502662966019</v>
      </c>
      <c r="T179" s="1" t="s">
        <v>547</v>
      </c>
      <c r="AA179" s="281">
        <v>4542</v>
      </c>
      <c r="AB179" s="282" t="s">
        <v>527</v>
      </c>
      <c r="AC179" s="283">
        <f>insumos!$I$35</f>
        <v>0.022058823529411763</v>
      </c>
      <c r="AD179" s="287"/>
      <c r="AK179" s="281">
        <v>5524</v>
      </c>
      <c r="AL179" s="282" t="s">
        <v>512</v>
      </c>
      <c r="AM179" s="283">
        <f>insumos!$H$217</f>
        <v>0.8950000000000001</v>
      </c>
      <c r="AN179" s="245"/>
      <c r="BE179" s="297"/>
      <c r="BF179" s="298" t="s">
        <v>5</v>
      </c>
      <c r="BG179" s="299">
        <f>SUM(BG167:BG178)</f>
        <v>3.6321936147068623</v>
      </c>
      <c r="BH179" s="300"/>
      <c r="BY179" s="292"/>
      <c r="BZ179" s="279" t="s">
        <v>553</v>
      </c>
      <c r="CA179" s="293"/>
      <c r="CD179" s="281"/>
      <c r="CE179" s="282" t="s">
        <v>587</v>
      </c>
      <c r="CF179" s="304">
        <v>5.61</v>
      </c>
      <c r="CG179" s="269"/>
      <c r="CN179" s="281"/>
      <c r="CO179" s="30"/>
      <c r="CP179" s="31"/>
      <c r="CQ179" s="296"/>
      <c r="CS179" s="281">
        <v>4986</v>
      </c>
      <c r="CT179" s="30" t="s">
        <v>530</v>
      </c>
      <c r="CU179" s="283">
        <f>insumos!$H$255*3</f>
        <v>0.5699996367390061</v>
      </c>
      <c r="CV179" s="284" t="s">
        <v>526</v>
      </c>
    </row>
    <row r="180" spans="2:100" x14ac:dyDescent="0.25">
      <c r="B180" s="281">
        <v>3636</v>
      </c>
      <c r="C180" s="282" t="s">
        <v>550</v>
      </c>
      <c r="D180" s="283">
        <f>+insumos!$H$121</f>
        <v>0.0445</v>
      </c>
      <c r="E180" s="284"/>
      <c r="F180" s="285"/>
      <c r="G180" s="26">
        <v>3817</v>
      </c>
      <c r="H180" s="243" t="s">
        <v>524</v>
      </c>
      <c r="I180" s="289">
        <f>insumos!$I$103*1.8</f>
        <v>0.02088</v>
      </c>
      <c r="J180" s="290" t="s">
        <v>537</v>
      </c>
      <c r="K180" s="285"/>
      <c r="L180" s="26">
        <v>3817</v>
      </c>
      <c r="M180" s="288" t="s">
        <v>524</v>
      </c>
      <c r="N180" s="289">
        <f>insumos!$I$103*1.8</f>
        <v>0.02088</v>
      </c>
      <c r="O180" s="290" t="s">
        <v>537</v>
      </c>
      <c r="Q180" s="281">
        <v>3636</v>
      </c>
      <c r="R180" s="282" t="s">
        <v>550</v>
      </c>
      <c r="S180" s="283">
        <f>+insumos!$H$121</f>
        <v>0.0445</v>
      </c>
      <c r="T180" s="245"/>
      <c r="AA180" s="26">
        <v>3817</v>
      </c>
      <c r="AB180" s="243" t="s">
        <v>524</v>
      </c>
      <c r="AC180" s="289">
        <f>insumos!$I$103*1.8</f>
        <v>0.02088</v>
      </c>
      <c r="AD180" s="285" t="s">
        <v>538</v>
      </c>
      <c r="AK180" s="281">
        <v>5523</v>
      </c>
      <c r="AL180" s="282" t="s">
        <v>508</v>
      </c>
      <c r="AM180" s="283">
        <f>+insumos!$H$285</f>
        <v>1.1829611337771098</v>
      </c>
      <c r="AN180" s="245"/>
      <c r="BE180" s="281"/>
      <c r="BF180" s="282" t="s">
        <v>587</v>
      </c>
      <c r="BG180" s="304">
        <f>1659.9/151</f>
        <v>10.99271523178808</v>
      </c>
      <c r="BH180" s="269"/>
      <c r="BY180" s="281">
        <v>6208</v>
      </c>
      <c r="BZ180" s="282" t="s">
        <v>573</v>
      </c>
      <c r="CA180" s="283">
        <f>insumos!$H$188*12</f>
        <v>1.0929882352941176</v>
      </c>
      <c r="CB180" s="300" t="s">
        <v>568</v>
      </c>
      <c r="CD180" s="281"/>
      <c r="CE180" s="307" t="s">
        <v>599</v>
      </c>
      <c r="CF180" s="308">
        <f>+CF178/CF179</f>
        <v>0.9794503231120834</v>
      </c>
      <c r="CG180" s="269"/>
      <c r="CN180" s="297"/>
      <c r="CO180" s="298" t="s">
        <v>5</v>
      </c>
      <c r="CP180" s="299">
        <f>SUM(CP168:CP179)</f>
        <v>5.60803429408546</v>
      </c>
      <c r="CS180" s="26" t="s">
        <v>539</v>
      </c>
      <c r="CT180" s="30" t="s">
        <v>540</v>
      </c>
      <c r="CU180" s="283">
        <f>insumos!$H$45</f>
        <v>0.028</v>
      </c>
      <c r="CV180" s="284"/>
    </row>
    <row r="181" spans="2:100" x14ac:dyDescent="0.25">
      <c r="B181" s="292"/>
      <c r="C181" s="279" t="s">
        <v>553</v>
      </c>
      <c r="D181" s="293"/>
      <c r="E181" s="284"/>
      <c r="F181" s="285"/>
      <c r="G181" s="26">
        <v>2173</v>
      </c>
      <c r="H181" s="243" t="s">
        <v>536</v>
      </c>
      <c r="I181" s="289">
        <f>+insumos!$H$149*2</f>
        <v>0.0349502662966019</v>
      </c>
      <c r="J181" s="291" t="s">
        <v>547</v>
      </c>
      <c r="K181" s="290"/>
      <c r="L181" s="26">
        <v>2173</v>
      </c>
      <c r="M181" s="288" t="s">
        <v>536</v>
      </c>
      <c r="N181" s="289">
        <f>+insumos!$H$149*2</f>
        <v>0.0349502662966019</v>
      </c>
      <c r="O181" s="291" t="s">
        <v>547</v>
      </c>
      <c r="Q181" s="292"/>
      <c r="R181" s="279" t="s">
        <v>553</v>
      </c>
      <c r="S181" s="293"/>
      <c r="T181" s="245"/>
      <c r="AA181" s="26">
        <v>2173</v>
      </c>
      <c r="AB181" s="243" t="s">
        <v>536</v>
      </c>
      <c r="AC181" s="289">
        <f>+insumos!$H$149*2</f>
        <v>0.0349502662966019</v>
      </c>
      <c r="AD181" s="1" t="s">
        <v>547</v>
      </c>
      <c r="AK181" s="281">
        <v>4542</v>
      </c>
      <c r="AL181" s="282" t="s">
        <v>527</v>
      </c>
      <c r="AM181" s="283">
        <f>insumos!$I$35</f>
        <v>0.022058823529411763</v>
      </c>
      <c r="AN181" s="245"/>
      <c r="BE181" s="281"/>
      <c r="BF181" s="307" t="s">
        <v>599</v>
      </c>
      <c r="BG181" s="308">
        <f>+BG179/BG180</f>
        <v>0.3304182395449944</v>
      </c>
      <c r="BH181" s="269"/>
      <c r="BY181" s="281">
        <v>5202</v>
      </c>
      <c r="BZ181" s="282" t="s">
        <v>586</v>
      </c>
      <c r="CA181" s="283">
        <f>insumos!$H$114*12</f>
        <v>0.3161371428571429</v>
      </c>
      <c r="CB181" s="300" t="s">
        <v>568</v>
      </c>
      <c r="CD181" s="311"/>
      <c r="CE181" s="307" t="s">
        <v>604</v>
      </c>
      <c r="CF181" s="308">
        <f>CF180*1.03</f>
        <v>1.0088338328054458</v>
      </c>
      <c r="CG181" s="269"/>
      <c r="CN181" s="281"/>
      <c r="CO181" s="282" t="s">
        <v>587</v>
      </c>
      <c r="CP181" s="304">
        <v>12.25</v>
      </c>
      <c r="CQ181" s="245"/>
      <c r="CS181" s="26">
        <v>3817</v>
      </c>
      <c r="CT181" s="243" t="s">
        <v>524</v>
      </c>
      <c r="CU181" s="289">
        <f>insumos!$I$103*1.8</f>
        <v>0.02088</v>
      </c>
      <c r="CV181" s="290" t="s">
        <v>537</v>
      </c>
    </row>
    <row r="182" spans="2:100" x14ac:dyDescent="0.25">
      <c r="B182" s="281">
        <v>6235</v>
      </c>
      <c r="C182" s="282" t="s">
        <v>573</v>
      </c>
      <c r="D182" s="283">
        <f>insumos!H157*8</f>
        <v>0.784</v>
      </c>
      <c r="E182" s="300" t="s">
        <v>561</v>
      </c>
      <c r="F182" s="291"/>
      <c r="G182" s="281">
        <v>3636</v>
      </c>
      <c r="H182" s="282" t="s">
        <v>550</v>
      </c>
      <c r="I182" s="283">
        <f>+insumos!$H$121</f>
        <v>0.0445</v>
      </c>
      <c r="K182" s="291"/>
      <c r="L182" s="281">
        <v>3636</v>
      </c>
      <c r="M182" s="286" t="s">
        <v>550</v>
      </c>
      <c r="N182" s="283">
        <f>+insumos!$H$121</f>
        <v>0.0445</v>
      </c>
      <c r="O182" s="285"/>
      <c r="Q182" s="26" t="s">
        <v>558</v>
      </c>
      <c r="R182" s="1" t="s">
        <v>559</v>
      </c>
      <c r="S182" s="283">
        <f>insumos!$H$65*9</f>
        <v>1.2419981739924348</v>
      </c>
      <c r="T182" s="1" t="s">
        <v>579</v>
      </c>
      <c r="AA182" s="281">
        <v>3636</v>
      </c>
      <c r="AB182" s="282" t="s">
        <v>550</v>
      </c>
      <c r="AC182" s="283">
        <f>+insumos!$H$121</f>
        <v>0.0445</v>
      </c>
      <c r="AD182" s="245"/>
      <c r="AK182" s="26">
        <v>3817</v>
      </c>
      <c r="AL182" s="243" t="s">
        <v>524</v>
      </c>
      <c r="AM182" s="289">
        <f>insumos!$I$103*1.8</f>
        <v>0.02088</v>
      </c>
      <c r="AN182" s="285" t="s">
        <v>538</v>
      </c>
      <c r="BE182" s="311"/>
      <c r="BF182" s="307" t="s">
        <v>604</v>
      </c>
      <c r="BG182" s="308">
        <f>BG181*1.03</f>
        <v>0.3403307867313442</v>
      </c>
      <c r="BH182" s="269"/>
      <c r="BY182" s="281">
        <v>6229</v>
      </c>
      <c r="BZ182" s="30" t="s">
        <v>588</v>
      </c>
      <c r="CA182" s="283">
        <f>insumos!$I$265*12</f>
        <v>0.25825519982429496</v>
      </c>
      <c r="CB182" s="300" t="s">
        <v>568</v>
      </c>
      <c r="CN182" s="281"/>
      <c r="CO182" s="307" t="s">
        <v>599</v>
      </c>
      <c r="CP182" s="308">
        <f>+CP180/CP181</f>
        <v>0.45779871788452736</v>
      </c>
      <c r="CQ182" s="245"/>
      <c r="CS182" s="26">
        <v>2173</v>
      </c>
      <c r="CT182" s="243" t="s">
        <v>536</v>
      </c>
      <c r="CU182" s="289">
        <f>+insumos!$H$149*2</f>
        <v>0.0349502662966019</v>
      </c>
      <c r="CV182" s="291" t="s">
        <v>547</v>
      </c>
    </row>
    <row r="183" spans="2:100" x14ac:dyDescent="0.25">
      <c r="B183" s="281">
        <v>5202</v>
      </c>
      <c r="C183" s="282" t="s">
        <v>586</v>
      </c>
      <c r="D183" s="283">
        <f>insumos!$H$114*8</f>
        <v>0.21075809523809524</v>
      </c>
      <c r="E183" s="300" t="s">
        <v>561</v>
      </c>
      <c r="F183" s="291"/>
      <c r="G183" s="292"/>
      <c r="H183" s="279" t="s">
        <v>553</v>
      </c>
      <c r="I183" s="293"/>
      <c r="J183" s="284"/>
      <c r="K183" s="285"/>
      <c r="L183" s="292"/>
      <c r="M183" s="280" t="s">
        <v>553</v>
      </c>
      <c r="N183" s="293"/>
      <c r="O183" s="285"/>
      <c r="Q183" s="26" t="s">
        <v>658</v>
      </c>
      <c r="R183" s="30" t="s">
        <v>659</v>
      </c>
      <c r="S183" s="283">
        <f>insumos!$H$135*9</f>
        <v>0.1845</v>
      </c>
      <c r="T183" s="1" t="s">
        <v>579</v>
      </c>
      <c r="AA183" s="292"/>
      <c r="AB183" s="279" t="s">
        <v>553</v>
      </c>
      <c r="AC183" s="293"/>
      <c r="AD183" s="245"/>
      <c r="AK183" s="26">
        <v>2173</v>
      </c>
      <c r="AL183" s="243" t="s">
        <v>536</v>
      </c>
      <c r="AM183" s="289">
        <f>+insumos!$H$149*2</f>
        <v>0.0349502662966019</v>
      </c>
      <c r="AN183" s="1" t="s">
        <v>547</v>
      </c>
      <c r="BY183" s="281">
        <v>6254</v>
      </c>
      <c r="BZ183" s="30" t="s">
        <v>600</v>
      </c>
      <c r="CA183" s="283">
        <f>+insumos!$I$208*12</f>
        <v>0.5334893983701396</v>
      </c>
      <c r="CB183" s="300" t="s">
        <v>568</v>
      </c>
      <c r="CD183" s="263">
        <v>4545024</v>
      </c>
      <c r="CE183" s="264" t="s">
        <v>824</v>
      </c>
      <c r="CF183" s="267"/>
      <c r="CG183" s="269"/>
      <c r="CN183" s="311"/>
      <c r="CO183" s="307" t="s">
        <v>604</v>
      </c>
      <c r="CP183" s="308">
        <f>CP182*1.03</f>
        <v>0.4715326794210632</v>
      </c>
      <c r="CS183" s="281">
        <v>3636</v>
      </c>
      <c r="CT183" s="282" t="s">
        <v>550</v>
      </c>
      <c r="CU183" s="283">
        <f>+insumos!$H$121</f>
        <v>0.0445</v>
      </c>
      <c r="CV183" s="284"/>
    </row>
    <row r="184" spans="2:100" x14ac:dyDescent="0.25">
      <c r="B184" s="281">
        <v>6229</v>
      </c>
      <c r="C184" s="30" t="s">
        <v>588</v>
      </c>
      <c r="D184" s="283">
        <f>insumos!$I$265*8</f>
        <v>0.17217013321619665</v>
      </c>
      <c r="E184" s="300" t="s">
        <v>561</v>
      </c>
      <c r="F184" s="291"/>
      <c r="G184" s="26" t="s">
        <v>701</v>
      </c>
      <c r="H184" s="30" t="s">
        <v>702</v>
      </c>
      <c r="I184" s="283">
        <f>insumos!$H$88*2</f>
        <v>1.978</v>
      </c>
      <c r="J184" s="300" t="s">
        <v>532</v>
      </c>
      <c r="K184" s="291"/>
      <c r="L184" s="26" t="s">
        <v>691</v>
      </c>
      <c r="M184" s="1" t="s">
        <v>692</v>
      </c>
      <c r="N184" s="283">
        <f>insumos!$H$93*9</f>
        <v>1.026</v>
      </c>
      <c r="O184" s="291" t="s">
        <v>579</v>
      </c>
      <c r="Q184" s="297"/>
      <c r="R184" s="298" t="s">
        <v>5</v>
      </c>
      <c r="S184" s="299">
        <f>SUM(S175:S183)</f>
        <v>2.7988872638184485</v>
      </c>
      <c r="T184" s="245"/>
      <c r="AA184" s="26"/>
      <c r="AB184" s="30"/>
      <c r="AC184" s="283"/>
      <c r="AD184" s="1"/>
      <c r="AK184" s="281">
        <v>3636</v>
      </c>
      <c r="AL184" s="282" t="s">
        <v>550</v>
      </c>
      <c r="AM184" s="283">
        <f>+insumos!$H$121</f>
        <v>0.0445</v>
      </c>
      <c r="AN184" s="245"/>
      <c r="BE184" s="263">
        <v>442035</v>
      </c>
      <c r="BF184" s="264" t="s">
        <v>825</v>
      </c>
      <c r="BG184" s="267"/>
      <c r="BH184" s="269"/>
      <c r="BY184" s="281">
        <v>5868</v>
      </c>
      <c r="BZ184" s="30" t="s">
        <v>605</v>
      </c>
      <c r="CA184" s="283">
        <f>insumos!$I$243*12</f>
        <v>0.22752</v>
      </c>
      <c r="CB184" s="300" t="s">
        <v>568</v>
      </c>
      <c r="CD184" s="275" t="s">
        <v>492</v>
      </c>
      <c r="CE184" s="276" t="s">
        <v>495</v>
      </c>
      <c r="CF184" s="275" t="s">
        <v>467</v>
      </c>
      <c r="CG184" s="269"/>
      <c r="CS184" s="292"/>
      <c r="CT184" s="279" t="s">
        <v>553</v>
      </c>
      <c r="CU184" s="293"/>
      <c r="CV184" s="284"/>
    </row>
    <row r="185" spans="2:100" x14ac:dyDescent="0.25">
      <c r="B185" s="281">
        <v>6254</v>
      </c>
      <c r="C185" s="30" t="s">
        <v>600</v>
      </c>
      <c r="D185" s="283">
        <f>+insumos!$I$208*8</f>
        <v>0.3556595989134264</v>
      </c>
      <c r="E185" s="300" t="s">
        <v>561</v>
      </c>
      <c r="F185" s="291"/>
      <c r="G185" s="26" t="s">
        <v>566</v>
      </c>
      <c r="H185" s="30" t="s">
        <v>567</v>
      </c>
      <c r="I185" s="283">
        <f>insumos!$H$113*2</f>
        <v>0.0540189077243429</v>
      </c>
      <c r="J185" s="300" t="s">
        <v>532</v>
      </c>
      <c r="K185" s="291"/>
      <c r="L185" s="26" t="s">
        <v>566</v>
      </c>
      <c r="M185" s="30" t="s">
        <v>567</v>
      </c>
      <c r="N185" s="283">
        <f>insumos!$H$113*9</f>
        <v>0.24308508475954307</v>
      </c>
      <c r="O185" s="291" t="s">
        <v>579</v>
      </c>
      <c r="Q185" s="281"/>
      <c r="R185" s="282" t="s">
        <v>587</v>
      </c>
      <c r="S185" s="304">
        <f>20628.37/1088</f>
        <v>18.95989889705882</v>
      </c>
      <c r="T185" s="245"/>
      <c r="AA185" s="26"/>
      <c r="AB185" s="30"/>
      <c r="AC185" s="283"/>
      <c r="AD185" s="1"/>
      <c r="AK185" s="292"/>
      <c r="AL185" s="279" t="s">
        <v>553</v>
      </c>
      <c r="AM185" s="293"/>
      <c r="AN185" s="245"/>
      <c r="BE185" s="275" t="s">
        <v>492</v>
      </c>
      <c r="BF185" s="276" t="s">
        <v>495</v>
      </c>
      <c r="BG185" s="275" t="s">
        <v>467</v>
      </c>
      <c r="BH185" s="269"/>
      <c r="BY185" s="297"/>
      <c r="BZ185" s="298" t="s">
        <v>5</v>
      </c>
      <c r="CA185" s="299">
        <f>SUM(CA172:CA184)</f>
        <v>5.1987398366878255</v>
      </c>
      <c r="CB185" s="245"/>
      <c r="CD185" s="278"/>
      <c r="CE185" s="279" t="s">
        <v>134</v>
      </c>
      <c r="CF185" s="278"/>
      <c r="CG185" s="269"/>
      <c r="CN185" s="263">
        <v>4865024</v>
      </c>
      <c r="CO185" s="264" t="s">
        <v>826</v>
      </c>
      <c r="CP185" s="267"/>
      <c r="CQ185" s="269"/>
      <c r="CS185" s="281">
        <v>4102</v>
      </c>
      <c r="CT185" s="282" t="s">
        <v>576</v>
      </c>
      <c r="CU185" s="283">
        <f>insumos!$H$115*15</f>
        <v>0.495</v>
      </c>
      <c r="CV185" s="300" t="s">
        <v>593</v>
      </c>
    </row>
    <row r="186" spans="2:100" x14ac:dyDescent="0.25">
      <c r="B186" s="281">
        <v>5868</v>
      </c>
      <c r="C186" s="30" t="s">
        <v>605</v>
      </c>
      <c r="D186" s="283">
        <f>insumos!$I$243*8</f>
        <v>0.15168</v>
      </c>
      <c r="E186" s="300" t="s">
        <v>561</v>
      </c>
      <c r="F186" s="291"/>
      <c r="G186" s="297"/>
      <c r="H186" s="298" t="s">
        <v>5</v>
      </c>
      <c r="I186" s="299">
        <f>SUM(I177:I185)</f>
        <v>4.2323691313274665</v>
      </c>
      <c r="J186" s="300"/>
      <c r="K186" s="291"/>
      <c r="L186" s="297"/>
      <c r="M186" s="303" t="s">
        <v>5</v>
      </c>
      <c r="N186" s="299">
        <f>SUM(N177:N185)</f>
        <v>3.436474174585557</v>
      </c>
      <c r="O186" s="245"/>
      <c r="Q186" s="281"/>
      <c r="R186" s="307" t="s">
        <v>599</v>
      </c>
      <c r="S186" s="308">
        <f>+S184/S185</f>
        <v>0.14762142345878382</v>
      </c>
      <c r="T186" s="245"/>
      <c r="AA186" s="297"/>
      <c r="AB186" s="298" t="s">
        <v>5</v>
      </c>
      <c r="AC186" s="299">
        <f>SUM(AC177:AC185)</f>
        <v>1.3723890898260136</v>
      </c>
      <c r="AD186" s="245"/>
      <c r="AK186" s="26" t="s">
        <v>566</v>
      </c>
      <c r="AL186" s="30" t="s">
        <v>567</v>
      </c>
      <c r="AM186" s="283">
        <f>insumos!$H$113*3</f>
        <v>0.08102836158651436</v>
      </c>
      <c r="AN186" s="1" t="s">
        <v>526</v>
      </c>
      <c r="BE186" s="278"/>
      <c r="BF186" s="279" t="s">
        <v>134</v>
      </c>
      <c r="BG186" s="278"/>
      <c r="BH186" s="269"/>
      <c r="BY186" s="281"/>
      <c r="BZ186" s="282" t="s">
        <v>587</v>
      </c>
      <c r="CA186" s="304">
        <f>2321.44/120</f>
        <v>19.345333333333333</v>
      </c>
      <c r="CB186" s="269"/>
      <c r="CD186" s="281">
        <v>3741</v>
      </c>
      <c r="CE186" s="282" t="s">
        <v>500</v>
      </c>
      <c r="CF186" s="283">
        <f>insumos!$G$213</f>
        <v>0.8355871886120997</v>
      </c>
      <c r="CG186" s="284"/>
      <c r="CN186" s="275" t="s">
        <v>492</v>
      </c>
      <c r="CO186" s="276" t="s">
        <v>495</v>
      </c>
      <c r="CP186" s="275" t="s">
        <v>467</v>
      </c>
      <c r="CQ186" s="269"/>
      <c r="CS186" s="281">
        <v>6229</v>
      </c>
      <c r="CT186" s="30" t="s">
        <v>588</v>
      </c>
      <c r="CU186" s="283">
        <f>insumos!$I$265*15</f>
        <v>0.3228189997803687</v>
      </c>
      <c r="CV186" s="300" t="s">
        <v>593</v>
      </c>
    </row>
    <row r="187" spans="2:100" x14ac:dyDescent="0.25">
      <c r="B187" s="297"/>
      <c r="C187" s="298" t="s">
        <v>5</v>
      </c>
      <c r="D187" s="299">
        <f>SUM(D174:D186)</f>
        <v>3.9538917281924184</v>
      </c>
      <c r="E187" s="269"/>
      <c r="F187" s="245"/>
      <c r="G187" s="281"/>
      <c r="H187" s="282" t="s">
        <v>587</v>
      </c>
      <c r="I187" s="281">
        <v>13</v>
      </c>
      <c r="J187" s="269"/>
      <c r="K187" s="245"/>
      <c r="L187" s="281"/>
      <c r="M187" s="286" t="s">
        <v>587</v>
      </c>
      <c r="N187" s="304">
        <f>113227.99/6215</f>
        <v>18.218502011263073</v>
      </c>
      <c r="O187" s="245"/>
      <c r="Q187" s="311"/>
      <c r="R187" s="307" t="s">
        <v>604</v>
      </c>
      <c r="S187" s="308">
        <f>S186*1.03</f>
        <v>0.15205006616254735</v>
      </c>
      <c r="AA187" s="281"/>
      <c r="AB187" s="282" t="s">
        <v>587</v>
      </c>
      <c r="AC187" s="304">
        <f>4860.24/217</f>
        <v>22.397419354838707</v>
      </c>
      <c r="AD187" s="245"/>
      <c r="AK187" s="26" t="s">
        <v>728</v>
      </c>
      <c r="AL187" s="30" t="s">
        <v>729</v>
      </c>
      <c r="AM187" s="283">
        <f>insumos!H198*3</f>
        <v>2.936030964109782</v>
      </c>
      <c r="AN187" s="1" t="s">
        <v>526</v>
      </c>
      <c r="BE187" s="281">
        <v>3741</v>
      </c>
      <c r="BF187" s="282" t="s">
        <v>500</v>
      </c>
      <c r="BG187" s="283">
        <f>insumos!$G$213</f>
        <v>0.8355871886120997</v>
      </c>
      <c r="BH187" s="284"/>
      <c r="BY187" s="281"/>
      <c r="BZ187" s="307" t="s">
        <v>599</v>
      </c>
      <c r="CA187" s="308">
        <f>+CA185/CA186</f>
        <v>0.26873353625445373</v>
      </c>
      <c r="CB187" s="269"/>
      <c r="CD187" s="26" t="s">
        <v>515</v>
      </c>
      <c r="CE187" s="30" t="s">
        <v>516</v>
      </c>
      <c r="CF187" s="283">
        <f>+insumos!$G$283</f>
        <v>1.1</v>
      </c>
      <c r="CG187" s="284"/>
      <c r="CN187" s="278"/>
      <c r="CO187" s="279" t="s">
        <v>134</v>
      </c>
      <c r="CP187" s="278"/>
      <c r="CQ187" s="269"/>
      <c r="CS187" s="281">
        <v>6254</v>
      </c>
      <c r="CT187" s="30" t="s">
        <v>600</v>
      </c>
      <c r="CU187" s="283">
        <f>+insumos!$I$208*15</f>
        <v>0.6668617479626745</v>
      </c>
      <c r="CV187" s="300" t="s">
        <v>593</v>
      </c>
    </row>
    <row r="188" spans="2:100" x14ac:dyDescent="0.25">
      <c r="B188" s="281"/>
      <c r="C188" s="282" t="s">
        <v>587</v>
      </c>
      <c r="D188" s="281">
        <v>10.85</v>
      </c>
      <c r="E188" s="269"/>
      <c r="F188" s="245"/>
      <c r="G188" s="281"/>
      <c r="H188" s="307" t="s">
        <v>599</v>
      </c>
      <c r="I188" s="308">
        <f>+I186/I187</f>
        <v>0.32556685625595894</v>
      </c>
      <c r="J188" s="269"/>
      <c r="K188" s="245"/>
      <c r="L188" s="281"/>
      <c r="M188" s="310" t="s">
        <v>599</v>
      </c>
      <c r="N188" s="308">
        <f>+N186/N187</f>
        <v>0.1886255067766304</v>
      </c>
      <c r="O188" s="245"/>
      <c r="AA188" s="281"/>
      <c r="AB188" s="307" t="s">
        <v>599</v>
      </c>
      <c r="AC188" s="308">
        <f>+AC186/AC187</f>
        <v>0.06127442934757234</v>
      </c>
      <c r="AD188" s="245"/>
      <c r="AK188" s="297"/>
      <c r="AL188" s="298" t="s">
        <v>5</v>
      </c>
      <c r="AM188" s="299">
        <f>SUM(AM179:AM187)</f>
        <v>5.21740954929942</v>
      </c>
      <c r="AN188" s="245"/>
      <c r="BE188" s="26" t="s">
        <v>517</v>
      </c>
      <c r="BF188" s="30" t="s">
        <v>518</v>
      </c>
      <c r="BG188" s="283">
        <f>+insumos!$H$263</f>
        <v>1.6</v>
      </c>
      <c r="BH188" s="284"/>
      <c r="BY188" s="311"/>
      <c r="BZ188" s="307" t="s">
        <v>604</v>
      </c>
      <c r="CA188" s="308">
        <f>CA187*1.03</f>
        <v>0.27679554234208736</v>
      </c>
      <c r="CB188" s="245"/>
      <c r="CD188" s="281">
        <v>4986</v>
      </c>
      <c r="CE188" s="30" t="s">
        <v>530</v>
      </c>
      <c r="CF188" s="283">
        <f>insumos!$H$255*3</f>
        <v>0.5699996367390061</v>
      </c>
      <c r="CG188" s="284" t="s">
        <v>526</v>
      </c>
      <c r="CN188" s="281">
        <v>5524</v>
      </c>
      <c r="CO188" s="1" t="s">
        <v>501</v>
      </c>
      <c r="CP188" s="283">
        <f>insumos!$H$217</f>
        <v>0.8950000000000001</v>
      </c>
      <c r="CQ188" s="269"/>
      <c r="CS188" s="26" t="s">
        <v>606</v>
      </c>
      <c r="CT188" s="30" t="s">
        <v>607</v>
      </c>
      <c r="CU188" s="283">
        <f>insumos!$H$197*15</f>
        <v>2.1811764705882353</v>
      </c>
      <c r="CV188" s="300" t="s">
        <v>593</v>
      </c>
    </row>
    <row r="189" spans="2:100" x14ac:dyDescent="0.25">
      <c r="B189" s="281"/>
      <c r="C189" s="307" t="s">
        <v>599</v>
      </c>
      <c r="D189" s="308">
        <f>+D187/D188</f>
        <v>0.3644139841651999</v>
      </c>
      <c r="E189" s="269"/>
      <c r="F189" s="245"/>
      <c r="G189" s="311"/>
      <c r="H189" s="307" t="s">
        <v>604</v>
      </c>
      <c r="I189" s="308">
        <f>I188*1.03</f>
        <v>0.33533386194363773</v>
      </c>
      <c r="J189" s="269"/>
      <c r="K189" s="245"/>
      <c r="L189" s="311"/>
      <c r="M189" s="310" t="s">
        <v>604</v>
      </c>
      <c r="N189" s="308">
        <f>N188*1.03</f>
        <v>0.1942842719799293</v>
      </c>
      <c r="O189" s="245"/>
      <c r="Q189" s="263">
        <v>998037</v>
      </c>
      <c r="R189" s="264" t="s">
        <v>827</v>
      </c>
      <c r="S189" s="267"/>
      <c r="T189" s="245"/>
      <c r="AA189" s="311"/>
      <c r="AB189" s="307" t="s">
        <v>604</v>
      </c>
      <c r="AC189" s="308">
        <f>AC188*1.03</f>
        <v>0.06311266222799951</v>
      </c>
      <c r="AD189" s="245"/>
      <c r="AK189" s="281"/>
      <c r="AL189" s="282" t="s">
        <v>587</v>
      </c>
      <c r="AM189" s="304">
        <f>65733.97/3677</f>
        <v>17.877065542561873</v>
      </c>
      <c r="AN189" s="245"/>
      <c r="BE189" s="281">
        <v>4653</v>
      </c>
      <c r="BF189" s="282" t="s">
        <v>525</v>
      </c>
      <c r="BG189" s="283">
        <f>insumos!$H$254*2</f>
        <v>0.37281192211465247</v>
      </c>
      <c r="BH189" s="284" t="s">
        <v>532</v>
      </c>
      <c r="CD189" s="26" t="s">
        <v>539</v>
      </c>
      <c r="CE189" s="30" t="s">
        <v>540</v>
      </c>
      <c r="CF189" s="283">
        <f>insumos!$H$45</f>
        <v>0.028</v>
      </c>
      <c r="CG189" s="284"/>
      <c r="CN189" s="281">
        <v>5523</v>
      </c>
      <c r="CO189" s="282" t="s">
        <v>508</v>
      </c>
      <c r="CP189" s="283">
        <f>+insumos!$H$285</f>
        <v>1.1829611337771098</v>
      </c>
      <c r="CQ189" s="269"/>
      <c r="CS189" s="297"/>
      <c r="CT189" s="298" t="s">
        <v>5</v>
      </c>
      <c r="CU189" s="299">
        <f>SUM(CU177:CU188)</f>
        <v>6.299774309978986</v>
      </c>
      <c r="CV189" s="300"/>
    </row>
    <row r="190" spans="2:100" x14ac:dyDescent="0.25">
      <c r="B190" s="311"/>
      <c r="C190" s="307" t="s">
        <v>604</v>
      </c>
      <c r="D190" s="308">
        <f>D189*1.03</f>
        <v>0.37534640369015587</v>
      </c>
      <c r="E190" s="269"/>
      <c r="F190" s="245"/>
      <c r="J190" s="269"/>
      <c r="K190" s="245"/>
      <c r="L190" s="245"/>
      <c r="M190" s="245"/>
      <c r="N190" s="245"/>
      <c r="O190" s="245"/>
      <c r="Q190" s="275" t="s">
        <v>492</v>
      </c>
      <c r="R190" s="276" t="s">
        <v>495</v>
      </c>
      <c r="S190" s="275" t="s">
        <v>467</v>
      </c>
      <c r="T190" s="245"/>
      <c r="AK190" s="281"/>
      <c r="AL190" s="307" t="s">
        <v>599</v>
      </c>
      <c r="AM190" s="308">
        <f>+AM188/AM189</f>
        <v>0.29184932711007666</v>
      </c>
      <c r="AN190" s="245"/>
      <c r="BE190" s="26" t="s">
        <v>541</v>
      </c>
      <c r="BF190" s="30" t="s">
        <v>542</v>
      </c>
      <c r="BG190" s="283">
        <f>insumos!$H$50</f>
        <v>0.027941176470588237</v>
      </c>
      <c r="BH190" s="284"/>
      <c r="CD190" s="26">
        <v>3817</v>
      </c>
      <c r="CE190" s="243" t="s">
        <v>524</v>
      </c>
      <c r="CF190" s="289">
        <f>insumos!$I$103*1.8</f>
        <v>0.02088</v>
      </c>
      <c r="CG190" s="290" t="s">
        <v>537</v>
      </c>
      <c r="CN190" s="281">
        <v>4986</v>
      </c>
      <c r="CO190" s="1" t="s">
        <v>530</v>
      </c>
      <c r="CP190" s="283">
        <f>insumos!$H$255*3</f>
        <v>0.5699996367390061</v>
      </c>
      <c r="CQ190" s="284" t="s">
        <v>526</v>
      </c>
      <c r="CS190" s="281"/>
      <c r="CT190" s="282" t="s">
        <v>587</v>
      </c>
      <c r="CU190" s="304">
        <v>5.71</v>
      </c>
      <c r="CV190" s="269"/>
    </row>
    <row r="191" spans="7:100" x14ac:dyDescent="0.25">
      <c r="G191" s="263">
        <v>437732</v>
      </c>
      <c r="H191" s="264" t="s">
        <v>828</v>
      </c>
      <c r="I191" s="267"/>
      <c r="L191" s="263">
        <v>436330</v>
      </c>
      <c r="M191" s="264" t="s">
        <v>791</v>
      </c>
      <c r="N191" s="265">
        <v>1080</v>
      </c>
      <c r="O191" s="266">
        <f>N191/E2</f>
        <v>26.825633383010434</v>
      </c>
      <c r="Q191" s="278"/>
      <c r="R191" s="279" t="s">
        <v>134</v>
      </c>
      <c r="S191" s="278"/>
      <c r="T191" s="245"/>
      <c r="AA191" s="263">
        <v>991112</v>
      </c>
      <c r="AB191" s="264" t="s">
        <v>829</v>
      </c>
      <c r="AC191" s="267"/>
      <c r="AD191" s="245"/>
      <c r="AK191" s="311"/>
      <c r="AL191" s="307" t="s">
        <v>604</v>
      </c>
      <c r="AM191" s="308">
        <f>AM190*1.03</f>
        <v>0.300604806923379</v>
      </c>
      <c r="AN191" s="245"/>
      <c r="BE191" s="26">
        <v>3817</v>
      </c>
      <c r="BF191" s="243" t="s">
        <v>524</v>
      </c>
      <c r="BG191" s="289">
        <f>insumos!$I$103*1.8</f>
        <v>0.02088</v>
      </c>
      <c r="BH191" s="290" t="s">
        <v>537</v>
      </c>
      <c r="CD191" s="26">
        <v>2173</v>
      </c>
      <c r="CE191" s="243" t="s">
        <v>536</v>
      </c>
      <c r="CF191" s="289">
        <f>+insumos!$H$149*2</f>
        <v>0.0349502662966019</v>
      </c>
      <c r="CG191" s="291" t="s">
        <v>547</v>
      </c>
      <c r="CN191" s="281">
        <v>4542</v>
      </c>
      <c r="CO191" s="282" t="s">
        <v>527</v>
      </c>
      <c r="CP191" s="283">
        <f>insumos!$I$35</f>
        <v>0.022058823529411763</v>
      </c>
      <c r="CQ191" s="284"/>
      <c r="CS191" s="281"/>
      <c r="CT191" s="307" t="s">
        <v>599</v>
      </c>
      <c r="CU191" s="308">
        <f>+CU189/CU190</f>
        <v>1.1032879702239906</v>
      </c>
      <c r="CV191" s="269"/>
    </row>
    <row r="192" spans="2:100" x14ac:dyDescent="0.25">
      <c r="B192" s="263">
        <v>439041</v>
      </c>
      <c r="C192" s="264" t="s">
        <v>830</v>
      </c>
      <c r="D192" s="267">
        <v>500</v>
      </c>
      <c r="E192" s="272">
        <f>D192/E2</f>
        <v>12.419274714356682</v>
      </c>
      <c r="F192" s="245"/>
      <c r="G192" s="275" t="s">
        <v>492</v>
      </c>
      <c r="H192" s="276" t="s">
        <v>495</v>
      </c>
      <c r="I192" s="275" t="s">
        <v>467</v>
      </c>
      <c r="J192" s="269"/>
      <c r="K192" s="245"/>
      <c r="L192" s="275" t="s">
        <v>492</v>
      </c>
      <c r="M192" s="277" t="s">
        <v>495</v>
      </c>
      <c r="N192" s="275" t="s">
        <v>467</v>
      </c>
      <c r="O192" s="245"/>
      <c r="Q192" s="281">
        <v>6184</v>
      </c>
      <c r="R192" s="1" t="s">
        <v>502</v>
      </c>
      <c r="S192" s="283">
        <f>insumos!$H$215</f>
        <v>0.6</v>
      </c>
      <c r="T192" s="245"/>
      <c r="AA192" s="275" t="s">
        <v>492</v>
      </c>
      <c r="AB192" s="276" t="s">
        <v>495</v>
      </c>
      <c r="AC192" s="275" t="s">
        <v>467</v>
      </c>
      <c r="AD192" s="245"/>
      <c r="BE192" s="26">
        <v>2173</v>
      </c>
      <c r="BF192" s="243" t="s">
        <v>536</v>
      </c>
      <c r="BG192" s="289">
        <f>+insumos!$H$149*2</f>
        <v>0.0349502662966019</v>
      </c>
      <c r="BH192" s="291" t="s">
        <v>547</v>
      </c>
      <c r="CD192" s="281">
        <v>3636</v>
      </c>
      <c r="CE192" s="282" t="s">
        <v>550</v>
      </c>
      <c r="CF192" s="283">
        <f>+insumos!$H$121</f>
        <v>0.0445</v>
      </c>
      <c r="CG192" s="284"/>
      <c r="CN192" s="26">
        <v>3817</v>
      </c>
      <c r="CO192" s="243" t="s">
        <v>524</v>
      </c>
      <c r="CP192" s="289">
        <f>insumos!$I$103*1.8</f>
        <v>0.02088</v>
      </c>
      <c r="CQ192" s="290" t="s">
        <v>537</v>
      </c>
      <c r="CS192" s="311"/>
      <c r="CT192" s="307" t="s">
        <v>604</v>
      </c>
      <c r="CU192" s="308">
        <f>CU191*1.03</f>
        <v>1.1363866093307105</v>
      </c>
      <c r="CV192" s="269"/>
    </row>
    <row r="193" spans="2:95" x14ac:dyDescent="0.25">
      <c r="B193" s="275" t="s">
        <v>492</v>
      </c>
      <c r="C193" s="276" t="s">
        <v>495</v>
      </c>
      <c r="D193" s="275" t="s">
        <v>467</v>
      </c>
      <c r="E193" s="269"/>
      <c r="F193" s="245"/>
      <c r="G193" s="278"/>
      <c r="H193" s="279" t="s">
        <v>134</v>
      </c>
      <c r="I193" s="278"/>
      <c r="J193" s="269"/>
      <c r="K193" s="245"/>
      <c r="L193" s="278"/>
      <c r="M193" s="280" t="s">
        <v>134</v>
      </c>
      <c r="N193" s="278"/>
      <c r="O193" s="245"/>
      <c r="Q193" s="281">
        <v>2037</v>
      </c>
      <c r="R193" s="282" t="s">
        <v>511</v>
      </c>
      <c r="S193" s="283">
        <f>+insumos!$H$268</f>
        <v>0.65</v>
      </c>
      <c r="T193" s="245"/>
      <c r="AA193" s="278"/>
      <c r="AB193" s="279" t="s">
        <v>134</v>
      </c>
      <c r="AC193" s="278"/>
      <c r="AD193" s="245"/>
      <c r="AK193" s="263">
        <v>1994139</v>
      </c>
      <c r="AL193" s="264" t="s">
        <v>831</v>
      </c>
      <c r="AM193" s="267"/>
      <c r="AN193" s="245"/>
      <c r="BE193" s="281">
        <v>3636</v>
      </c>
      <c r="BF193" s="282" t="s">
        <v>550</v>
      </c>
      <c r="BG193" s="283">
        <f>+insumos!$H$121</f>
        <v>0.0445</v>
      </c>
      <c r="BH193" s="284"/>
      <c r="CD193" s="292"/>
      <c r="CE193" s="279" t="s">
        <v>553</v>
      </c>
      <c r="CF193" s="293"/>
      <c r="CG193" s="284"/>
      <c r="CN193" s="26">
        <v>2173</v>
      </c>
      <c r="CO193" s="243" t="s">
        <v>536</v>
      </c>
      <c r="CP193" s="289">
        <f>+insumos!$H$149*2</f>
        <v>0.0349502662966019</v>
      </c>
      <c r="CQ193" s="291" t="s">
        <v>547</v>
      </c>
    </row>
    <row r="194" spans="2:94" x14ac:dyDescent="0.25">
      <c r="B194" s="278"/>
      <c r="C194" s="279" t="s">
        <v>134</v>
      </c>
      <c r="D194" s="278"/>
      <c r="E194" s="269"/>
      <c r="F194" s="245"/>
      <c r="G194" s="281">
        <v>5524</v>
      </c>
      <c r="H194" s="1" t="s">
        <v>501</v>
      </c>
      <c r="I194" s="283">
        <f>insumos!$H$217</f>
        <v>0.8950000000000001</v>
      </c>
      <c r="J194" s="269"/>
      <c r="K194" s="245"/>
      <c r="L194" s="281">
        <v>3741</v>
      </c>
      <c r="M194" s="282" t="s">
        <v>500</v>
      </c>
      <c r="N194" s="283">
        <f>insumos!$G$213</f>
        <v>0.8355871886120997</v>
      </c>
      <c r="O194" s="285"/>
      <c r="Q194" s="281">
        <v>4542</v>
      </c>
      <c r="R194" s="282" t="s">
        <v>527</v>
      </c>
      <c r="S194" s="283">
        <f>insumos!$I$35</f>
        <v>0.022058823529411763</v>
      </c>
      <c r="AA194" s="281">
        <v>6184</v>
      </c>
      <c r="AB194" s="1" t="s">
        <v>502</v>
      </c>
      <c r="AC194" s="283">
        <f>insumos!$H$215</f>
        <v>0.6</v>
      </c>
      <c r="AD194" s="245"/>
      <c r="AK194" s="275" t="s">
        <v>492</v>
      </c>
      <c r="AL194" s="276" t="s">
        <v>495</v>
      </c>
      <c r="AM194" s="275" t="s">
        <v>467</v>
      </c>
      <c r="AN194" s="245"/>
      <c r="BE194" s="292"/>
      <c r="BF194" s="279" t="s">
        <v>553</v>
      </c>
      <c r="BG194" s="293"/>
      <c r="BH194" s="284"/>
      <c r="CD194" s="26" t="s">
        <v>566</v>
      </c>
      <c r="CE194" s="30" t="s">
        <v>567</v>
      </c>
      <c r="CF194" s="283">
        <f>insumos!$H$113*12</f>
        <v>0.32411344634605743</v>
      </c>
      <c r="CG194" s="296" t="s">
        <v>568</v>
      </c>
      <c r="CN194" s="281">
        <v>3636</v>
      </c>
      <c r="CO194" s="282" t="s">
        <v>550</v>
      </c>
      <c r="CP194" s="283">
        <f>+insumos!$H$121</f>
        <v>0.0445</v>
      </c>
    </row>
    <row r="195" spans="2:94" x14ac:dyDescent="0.25">
      <c r="B195" s="281">
        <v>3741</v>
      </c>
      <c r="C195" s="282" t="s">
        <v>500</v>
      </c>
      <c r="D195" s="283">
        <f>insumos!$G$213</f>
        <v>0.8355871886120997</v>
      </c>
      <c r="E195" s="284"/>
      <c r="F195" s="285"/>
      <c r="G195" s="281">
        <v>5523</v>
      </c>
      <c r="H195" s="282" t="s">
        <v>508</v>
      </c>
      <c r="I195" s="283">
        <f>+insumos!$H$285</f>
        <v>1.1829611337771098</v>
      </c>
      <c r="J195" s="284"/>
      <c r="K195" s="285"/>
      <c r="L195" s="26" t="s">
        <v>509</v>
      </c>
      <c r="M195" s="30" t="s">
        <v>510</v>
      </c>
      <c r="N195" s="283">
        <f>+insumos!$H$267</f>
        <v>1.2</v>
      </c>
      <c r="O195" s="285"/>
      <c r="Q195" s="26">
        <v>3817</v>
      </c>
      <c r="R195" s="243" t="s">
        <v>524</v>
      </c>
      <c r="S195" s="289">
        <f>insumos!$I$103*1.8</f>
        <v>0.02088</v>
      </c>
      <c r="T195" s="285" t="s">
        <v>538</v>
      </c>
      <c r="AA195" s="281">
        <v>2037</v>
      </c>
      <c r="AB195" s="282" t="s">
        <v>511</v>
      </c>
      <c r="AC195" s="283">
        <f>+insumos!$H$268</f>
        <v>0.65</v>
      </c>
      <c r="AD195" s="245"/>
      <c r="AK195" s="278"/>
      <c r="AL195" s="279" t="s">
        <v>134</v>
      </c>
      <c r="AM195" s="278"/>
      <c r="AN195" s="245"/>
      <c r="BE195" s="26" t="s">
        <v>566</v>
      </c>
      <c r="BF195" s="30" t="s">
        <v>567</v>
      </c>
      <c r="BG195" s="283">
        <f>insumos!$H$113*12</f>
        <v>0.32411344634605743</v>
      </c>
      <c r="BH195" s="300" t="s">
        <v>568</v>
      </c>
      <c r="CD195" s="281">
        <v>6229</v>
      </c>
      <c r="CE195" s="30" t="s">
        <v>588</v>
      </c>
      <c r="CF195" s="283">
        <f>insumos!$I$265*12</f>
        <v>0.25825519982429496</v>
      </c>
      <c r="CG195" s="296" t="s">
        <v>568</v>
      </c>
      <c r="CN195" s="292"/>
      <c r="CO195" s="279" t="s">
        <v>553</v>
      </c>
      <c r="CP195" s="293"/>
    </row>
    <row r="196" spans="2:95" x14ac:dyDescent="0.25">
      <c r="B196" s="281">
        <v>3759</v>
      </c>
      <c r="C196" s="1" t="s">
        <v>507</v>
      </c>
      <c r="D196" s="283">
        <f>+insumos!$G$284</f>
        <v>1.1352416613292604</v>
      </c>
      <c r="E196" s="284"/>
      <c r="F196" s="285"/>
      <c r="G196" s="281">
        <v>4542</v>
      </c>
      <c r="H196" s="282" t="s">
        <v>527</v>
      </c>
      <c r="I196" s="283">
        <f>insumos!$I$35</f>
        <v>0.022058823529411763</v>
      </c>
      <c r="J196" s="284"/>
      <c r="K196" s="285"/>
      <c r="L196" s="281">
        <v>4541</v>
      </c>
      <c r="M196" s="282" t="s">
        <v>528</v>
      </c>
      <c r="N196" s="283">
        <f>insumos!$H$43</f>
        <v>0.022058823529411766</v>
      </c>
      <c r="O196" s="285"/>
      <c r="Q196" s="26">
        <v>2173</v>
      </c>
      <c r="R196" s="243" t="s">
        <v>536</v>
      </c>
      <c r="S196" s="289">
        <f>+insumos!$H$149*2</f>
        <v>0.0349502662966019</v>
      </c>
      <c r="T196" s="1" t="s">
        <v>547</v>
      </c>
      <c r="AA196" s="281">
        <v>4542</v>
      </c>
      <c r="AB196" s="282" t="s">
        <v>527</v>
      </c>
      <c r="AC196" s="283">
        <f>insumos!$I$35</f>
        <v>0.022058823529411763</v>
      </c>
      <c r="AD196" s="245"/>
      <c r="AK196" s="281">
        <v>5524</v>
      </c>
      <c r="AL196" s="282" t="s">
        <v>512</v>
      </c>
      <c r="AM196" s="283">
        <f>insumos!$H$217</f>
        <v>0.8950000000000001</v>
      </c>
      <c r="AN196" s="245"/>
      <c r="BE196" s="281">
        <v>6229</v>
      </c>
      <c r="BF196" s="30" t="s">
        <v>588</v>
      </c>
      <c r="BG196" s="283">
        <f>insumos!$I$265*12</f>
        <v>0.25825519982429496</v>
      </c>
      <c r="BH196" s="300" t="s">
        <v>568</v>
      </c>
      <c r="CD196" s="281">
        <v>6254</v>
      </c>
      <c r="CE196" s="30" t="s">
        <v>600</v>
      </c>
      <c r="CF196" s="283">
        <f>+insumos!$I$208*12</f>
        <v>0.5334893983701396</v>
      </c>
      <c r="CG196" s="296" t="s">
        <v>568</v>
      </c>
      <c r="CN196" s="281">
        <v>6208</v>
      </c>
      <c r="CO196" s="282" t="s">
        <v>573</v>
      </c>
      <c r="CP196" s="283">
        <f>insumos!$H$188*12</f>
        <v>1.0929882352941176</v>
      </c>
      <c r="CQ196" s="300" t="s">
        <v>568</v>
      </c>
    </row>
    <row r="197" spans="2:95" x14ac:dyDescent="0.25">
      <c r="B197" s="281">
        <v>4653</v>
      </c>
      <c r="C197" s="282" t="s">
        <v>525</v>
      </c>
      <c r="D197" s="283">
        <f>insumos!$H$254*2</f>
        <v>0.37281192211465247</v>
      </c>
      <c r="E197" s="284" t="s">
        <v>532</v>
      </c>
      <c r="F197" s="285"/>
      <c r="G197" s="26">
        <v>3817</v>
      </c>
      <c r="H197" s="243" t="s">
        <v>524</v>
      </c>
      <c r="I197" s="289">
        <f>insumos!$I$103*1.8</f>
        <v>0.02088</v>
      </c>
      <c r="J197" s="290" t="s">
        <v>537</v>
      </c>
      <c r="K197" s="285"/>
      <c r="L197" s="26">
        <v>3817</v>
      </c>
      <c r="M197" s="288" t="s">
        <v>524</v>
      </c>
      <c r="N197" s="289">
        <f>insumos!$I$103*1.8</f>
        <v>0.02088</v>
      </c>
      <c r="O197" s="290" t="s">
        <v>537</v>
      </c>
      <c r="Q197" s="281">
        <v>3636</v>
      </c>
      <c r="R197" s="282" t="s">
        <v>550</v>
      </c>
      <c r="S197" s="283">
        <f>+insumos!$H$121</f>
        <v>0.0445</v>
      </c>
      <c r="T197" s="245"/>
      <c r="AA197" s="26">
        <v>3817</v>
      </c>
      <c r="AB197" s="243" t="s">
        <v>524</v>
      </c>
      <c r="AC197" s="289">
        <f>insumos!$I$103*1.8</f>
        <v>0.02088</v>
      </c>
      <c r="AD197" s="285" t="s">
        <v>538</v>
      </c>
      <c r="AK197" s="26" t="s">
        <v>519</v>
      </c>
      <c r="AL197" s="30" t="s">
        <v>520</v>
      </c>
      <c r="AM197" s="283">
        <f>insumos!H279</f>
        <v>1.25</v>
      </c>
      <c r="AN197" s="245"/>
      <c r="BE197" s="281">
        <v>6254</v>
      </c>
      <c r="BF197" s="30" t="s">
        <v>600</v>
      </c>
      <c r="BG197" s="283">
        <f>+insumos!$I$208*12</f>
        <v>0.5334893983701396</v>
      </c>
      <c r="BH197" s="300" t="s">
        <v>568</v>
      </c>
      <c r="CD197" s="26" t="s">
        <v>816</v>
      </c>
      <c r="CE197" s="30" t="s">
        <v>817</v>
      </c>
      <c r="CF197" s="283">
        <f>insumos!$H$133*12</f>
        <v>0.18</v>
      </c>
      <c r="CG197" s="296" t="s">
        <v>568</v>
      </c>
      <c r="CN197" s="281">
        <v>5202</v>
      </c>
      <c r="CO197" s="282" t="s">
        <v>586</v>
      </c>
      <c r="CP197" s="283">
        <f>insumos!$H$114*12</f>
        <v>0.3161371428571429</v>
      </c>
      <c r="CQ197" s="300" t="s">
        <v>568</v>
      </c>
    </row>
    <row r="198" spans="2:95" x14ac:dyDescent="0.25">
      <c r="B198" s="281">
        <v>4541</v>
      </c>
      <c r="C198" s="282" t="s">
        <v>528</v>
      </c>
      <c r="D198" s="283">
        <f>insumos!$H$43</f>
        <v>0.022058823529411766</v>
      </c>
      <c r="E198" s="284"/>
      <c r="F198" s="285"/>
      <c r="G198" s="26">
        <v>2173</v>
      </c>
      <c r="H198" s="243" t="s">
        <v>536</v>
      </c>
      <c r="I198" s="289">
        <f>+insumos!$H$149*2</f>
        <v>0.0349502662966019</v>
      </c>
      <c r="J198" s="291" t="s">
        <v>547</v>
      </c>
      <c r="K198" s="290"/>
      <c r="L198" s="26">
        <v>2173</v>
      </c>
      <c r="M198" s="288" t="s">
        <v>536</v>
      </c>
      <c r="N198" s="289">
        <f>+insumos!$H$149*2</f>
        <v>0.0349502662966019</v>
      </c>
      <c r="O198" s="291" t="s">
        <v>547</v>
      </c>
      <c r="Q198" s="292"/>
      <c r="R198" s="279" t="s">
        <v>553</v>
      </c>
      <c r="S198" s="293"/>
      <c r="T198" s="245"/>
      <c r="AA198" s="26">
        <v>2173</v>
      </c>
      <c r="AB198" s="243" t="s">
        <v>536</v>
      </c>
      <c r="AC198" s="289">
        <f>+insumos!$H$149*2</f>
        <v>0.0349502662966019</v>
      </c>
      <c r="AD198" s="1" t="s">
        <v>547</v>
      </c>
      <c r="AK198" s="281">
        <v>4542</v>
      </c>
      <c r="AL198" s="282" t="s">
        <v>527</v>
      </c>
      <c r="AM198" s="283">
        <f>insumos!$I$35</f>
        <v>0.022058823529411763</v>
      </c>
      <c r="AN198" s="245"/>
      <c r="BE198" s="26" t="s">
        <v>608</v>
      </c>
      <c r="BF198" s="30" t="s">
        <v>609</v>
      </c>
      <c r="BG198" s="283">
        <f>insumos!$H$176*12</f>
        <v>0.648</v>
      </c>
      <c r="BH198" s="300" t="s">
        <v>568</v>
      </c>
      <c r="CD198" s="297"/>
      <c r="CE198" s="298" t="s">
        <v>5</v>
      </c>
      <c r="CF198" s="299">
        <f>SUM(CF186:CF197)</f>
        <v>3.9297751361882</v>
      </c>
      <c r="CG198" s="300"/>
      <c r="CN198" s="281">
        <v>6229</v>
      </c>
      <c r="CO198" s="30" t="s">
        <v>588</v>
      </c>
      <c r="CP198" s="283">
        <f>insumos!$I$265*12</f>
        <v>0.25825519982429496</v>
      </c>
      <c r="CQ198" s="300" t="s">
        <v>568</v>
      </c>
    </row>
    <row r="199" spans="2:95" x14ac:dyDescent="0.25">
      <c r="B199" s="26">
        <v>3817</v>
      </c>
      <c r="C199" s="243" t="s">
        <v>524</v>
      </c>
      <c r="D199" s="289">
        <f>insumos!$I$103*1.8</f>
        <v>0.02088</v>
      </c>
      <c r="E199" s="290" t="s">
        <v>537</v>
      </c>
      <c r="F199" s="290"/>
      <c r="G199" s="281">
        <v>3636</v>
      </c>
      <c r="H199" s="282" t="s">
        <v>550</v>
      </c>
      <c r="I199" s="283">
        <f>+insumos!$H$121</f>
        <v>0.0445</v>
      </c>
      <c r="K199" s="291"/>
      <c r="L199" s="281">
        <v>3636</v>
      </c>
      <c r="M199" s="286" t="s">
        <v>550</v>
      </c>
      <c r="N199" s="283">
        <f>+insumos!$H$121</f>
        <v>0.0445</v>
      </c>
      <c r="O199" s="285"/>
      <c r="Q199" s="26" t="s">
        <v>650</v>
      </c>
      <c r="R199" s="30" t="s">
        <v>651</v>
      </c>
      <c r="S199" s="283">
        <f>insumos!$H$75*6</f>
        <v>1.17</v>
      </c>
      <c r="T199" s="1" t="s">
        <v>662</v>
      </c>
      <c r="AA199" s="281">
        <v>3636</v>
      </c>
      <c r="AB199" s="282" t="s">
        <v>550</v>
      </c>
      <c r="AC199" s="283">
        <f>+insumos!$H$121</f>
        <v>0.0445</v>
      </c>
      <c r="AD199" s="245"/>
      <c r="AK199" s="26">
        <v>3817</v>
      </c>
      <c r="AL199" s="243" t="s">
        <v>524</v>
      </c>
      <c r="AM199" s="289">
        <f>insumos!$I$103*1.8</f>
        <v>0.02088</v>
      </c>
      <c r="AN199" s="285" t="s">
        <v>538</v>
      </c>
      <c r="BE199" s="297"/>
      <c r="BF199" s="298" t="s">
        <v>5</v>
      </c>
      <c r="BG199" s="299">
        <f>SUM(BG187:BG198)</f>
        <v>4.700528598034435</v>
      </c>
      <c r="BH199" s="300"/>
      <c r="CD199" s="281"/>
      <c r="CE199" s="282" t="s">
        <v>587</v>
      </c>
      <c r="CF199" s="304">
        <v>9.24</v>
      </c>
      <c r="CG199" s="269"/>
      <c r="CN199" s="281">
        <v>6254</v>
      </c>
      <c r="CO199" s="30" t="s">
        <v>600</v>
      </c>
      <c r="CP199" s="283">
        <f>+insumos!$I$208*12</f>
        <v>0.5334893983701396</v>
      </c>
      <c r="CQ199" s="300" t="s">
        <v>568</v>
      </c>
    </row>
    <row r="200" spans="2:95" x14ac:dyDescent="0.25">
      <c r="B200" s="26">
        <v>2173</v>
      </c>
      <c r="C200" s="243" t="s">
        <v>536</v>
      </c>
      <c r="D200" s="289">
        <f>+insumos!$H$149*2</f>
        <v>0.0349502662966019</v>
      </c>
      <c r="E200" s="291" t="s">
        <v>547</v>
      </c>
      <c r="F200" s="291"/>
      <c r="G200" s="292"/>
      <c r="H200" s="279" t="s">
        <v>553</v>
      </c>
      <c r="I200" s="293"/>
      <c r="J200" s="284"/>
      <c r="K200" s="285"/>
      <c r="L200" s="292"/>
      <c r="M200" s="280" t="s">
        <v>553</v>
      </c>
      <c r="N200" s="293"/>
      <c r="O200" s="285"/>
      <c r="Q200" s="297"/>
      <c r="R200" s="298" t="s">
        <v>5</v>
      </c>
      <c r="S200" s="299">
        <f>SUM(S192:S199)</f>
        <v>2.5423890898260133</v>
      </c>
      <c r="T200" s="245"/>
      <c r="AA200" s="292"/>
      <c r="AB200" s="279" t="s">
        <v>553</v>
      </c>
      <c r="AC200" s="293"/>
      <c r="AD200" s="245"/>
      <c r="AK200" s="26">
        <v>2173</v>
      </c>
      <c r="AL200" s="243" t="s">
        <v>536</v>
      </c>
      <c r="AM200" s="289">
        <f>+insumos!$H$149*2</f>
        <v>0.0349502662966019</v>
      </c>
      <c r="AN200" s="1" t="s">
        <v>547</v>
      </c>
      <c r="BE200" s="281"/>
      <c r="BF200" s="282" t="s">
        <v>587</v>
      </c>
      <c r="BG200" s="304">
        <f>4072.11/406</f>
        <v>10.029827586206897</v>
      </c>
      <c r="BH200" s="269"/>
      <c r="CD200" s="281"/>
      <c r="CE200" s="307" t="s">
        <v>599</v>
      </c>
      <c r="CF200" s="308">
        <f>+CF198/CF199</f>
        <v>0.42530033941430734</v>
      </c>
      <c r="CG200" s="269"/>
      <c r="CN200" s="281">
        <v>5868</v>
      </c>
      <c r="CO200" s="30" t="s">
        <v>605</v>
      </c>
      <c r="CP200" s="283">
        <f>insumos!$I$243*12</f>
        <v>0.22752</v>
      </c>
      <c r="CQ200" s="300" t="s">
        <v>568</v>
      </c>
    </row>
    <row r="201" spans="2:95" x14ac:dyDescent="0.25">
      <c r="B201" s="281">
        <v>3636</v>
      </c>
      <c r="C201" s="282" t="s">
        <v>550</v>
      </c>
      <c r="D201" s="283">
        <f>+insumos!$H$121</f>
        <v>0.0445</v>
      </c>
      <c r="E201" s="284"/>
      <c r="F201" s="285"/>
      <c r="G201" s="26" t="s">
        <v>697</v>
      </c>
      <c r="H201" s="30" t="s">
        <v>698</v>
      </c>
      <c r="I201" s="283">
        <f>insumos!$H$24*4</f>
        <v>0.884</v>
      </c>
      <c r="J201" s="300" t="s">
        <v>531</v>
      </c>
      <c r="K201" s="285"/>
      <c r="L201" s="26" t="s">
        <v>558</v>
      </c>
      <c r="M201" s="1" t="s">
        <v>559</v>
      </c>
      <c r="N201" s="283">
        <f>insumos!$H$65*7</f>
        <v>0.9659985797718939</v>
      </c>
      <c r="O201" s="291" t="s">
        <v>661</v>
      </c>
      <c r="Q201" s="281"/>
      <c r="R201" s="282" t="s">
        <v>587</v>
      </c>
      <c r="S201" s="304">
        <f>1298.9/60</f>
        <v>21.648333333333333</v>
      </c>
      <c r="T201" s="245"/>
      <c r="AA201" s="26" t="s">
        <v>653</v>
      </c>
      <c r="AB201" s="30" t="s">
        <v>654</v>
      </c>
      <c r="AC201" s="283">
        <f>insumos!$H$224*9</f>
        <v>0.9</v>
      </c>
      <c r="AD201" s="1" t="s">
        <v>579</v>
      </c>
      <c r="AK201" s="281">
        <v>3636</v>
      </c>
      <c r="AL201" s="282" t="s">
        <v>550</v>
      </c>
      <c r="AM201" s="283">
        <f>+insumos!$H$121</f>
        <v>0.0445</v>
      </c>
      <c r="AN201" s="245"/>
      <c r="BE201" s="281"/>
      <c r="BF201" s="307" t="s">
        <v>599</v>
      </c>
      <c r="BG201" s="308">
        <f>+BG199/BG200</f>
        <v>0.4686549751362268</v>
      </c>
      <c r="BH201" s="269"/>
      <c r="CD201" s="311"/>
      <c r="CE201" s="307" t="s">
        <v>604</v>
      </c>
      <c r="CF201" s="308">
        <f>CF200*1.03</f>
        <v>0.4380593495967366</v>
      </c>
      <c r="CG201" s="269"/>
      <c r="CN201" s="297"/>
      <c r="CO201" s="298" t="s">
        <v>5</v>
      </c>
      <c r="CP201" s="299">
        <f>SUM(CP188:CP200)</f>
        <v>5.1987398366878255</v>
      </c>
      <c r="CQ201" s="245"/>
    </row>
    <row r="202" spans="2:95" x14ac:dyDescent="0.25">
      <c r="B202" s="292"/>
      <c r="C202" s="279" t="s">
        <v>553</v>
      </c>
      <c r="D202" s="293"/>
      <c r="E202" s="284"/>
      <c r="F202" s="285"/>
      <c r="G202" s="26" t="s">
        <v>566</v>
      </c>
      <c r="H202" s="30" t="s">
        <v>567</v>
      </c>
      <c r="I202" s="283">
        <f>insumos!$H$113*4</f>
        <v>0.1080378154486858</v>
      </c>
      <c r="J202" s="300" t="s">
        <v>531</v>
      </c>
      <c r="K202" s="291"/>
      <c r="L202" s="26" t="s">
        <v>566</v>
      </c>
      <c r="M202" s="30" t="s">
        <v>567</v>
      </c>
      <c r="N202" s="283">
        <f>insumos!$H$113*7</f>
        <v>0.18906617703520015</v>
      </c>
      <c r="O202" s="291" t="s">
        <v>661</v>
      </c>
      <c r="Q202" s="281"/>
      <c r="R202" s="307" t="s">
        <v>599</v>
      </c>
      <c r="S202" s="308">
        <f>+S200/S201</f>
        <v>0.11744040756760397</v>
      </c>
      <c r="T202" s="245"/>
      <c r="AA202" s="26" t="s">
        <v>574</v>
      </c>
      <c r="AB202" s="1" t="s">
        <v>575</v>
      </c>
      <c r="AC202" s="283">
        <f>insumos!$H$120*9</f>
        <v>0.1791</v>
      </c>
      <c r="AD202" s="1" t="s">
        <v>579</v>
      </c>
      <c r="AK202" s="292"/>
      <c r="AL202" s="279" t="s">
        <v>553</v>
      </c>
      <c r="AM202" s="293"/>
      <c r="AN202" s="245"/>
      <c r="BE202" s="311"/>
      <c r="BF202" s="307" t="s">
        <v>604</v>
      </c>
      <c r="BG202" s="308">
        <f>BG201*1.03</f>
        <v>0.4827146243903136</v>
      </c>
      <c r="BH202" s="269"/>
      <c r="CN202" s="281"/>
      <c r="CO202" s="282" t="s">
        <v>587</v>
      </c>
      <c r="CP202" s="304">
        <f>1962.87/138</f>
        <v>14.223695652173912</v>
      </c>
      <c r="CQ202" s="269"/>
    </row>
    <row r="203" spans="2:95" x14ac:dyDescent="0.25">
      <c r="B203" s="281">
        <v>6232</v>
      </c>
      <c r="C203" s="282" t="s">
        <v>573</v>
      </c>
      <c r="D203" s="283">
        <f>insumos!H152*12</f>
        <v>1.1398698795180722</v>
      </c>
      <c r="E203" s="300" t="s">
        <v>568</v>
      </c>
      <c r="F203" s="291"/>
      <c r="G203" s="297"/>
      <c r="H203" s="298" t="s">
        <v>5</v>
      </c>
      <c r="I203" s="299">
        <f>SUM(I194:I202)</f>
        <v>3.1923880390518096</v>
      </c>
      <c r="J203" s="300"/>
      <c r="K203" s="291"/>
      <c r="L203" s="297"/>
      <c r="M203" s="303" t="s">
        <v>5</v>
      </c>
      <c r="N203" s="299">
        <f>SUM(N194:N202)</f>
        <v>3.3130410352452078</v>
      </c>
      <c r="O203" s="245"/>
      <c r="Q203" s="311"/>
      <c r="R203" s="307" t="s">
        <v>604</v>
      </c>
      <c r="S203" s="308">
        <f>S202*1.03</f>
        <v>0.12096361979463209</v>
      </c>
      <c r="AA203" s="297"/>
      <c r="AB203" s="298" t="s">
        <v>5</v>
      </c>
      <c r="AC203" s="299">
        <f>SUM(AC194:AC202)</f>
        <v>2.4514890898260138</v>
      </c>
      <c r="AD203" s="245"/>
      <c r="AK203" s="26" t="s">
        <v>566</v>
      </c>
      <c r="AL203" s="30" t="s">
        <v>567</v>
      </c>
      <c r="AM203" s="283">
        <f>insumos!$H$113*3</f>
        <v>0.08102836158651436</v>
      </c>
      <c r="AN203" s="1" t="s">
        <v>526</v>
      </c>
      <c r="CD203" s="263">
        <v>4545016</v>
      </c>
      <c r="CE203" s="264" t="s">
        <v>832</v>
      </c>
      <c r="CF203" s="267"/>
      <c r="CG203" s="269"/>
      <c r="CN203" s="281"/>
      <c r="CO203" s="307" t="s">
        <v>599</v>
      </c>
      <c r="CP203" s="308">
        <f>+CP201/CP202</f>
        <v>0.36549852892087603</v>
      </c>
      <c r="CQ203" s="269"/>
    </row>
    <row r="204" spans="2:95" x14ac:dyDescent="0.25">
      <c r="B204" s="281">
        <v>5202</v>
      </c>
      <c r="C204" s="282" t="s">
        <v>586</v>
      </c>
      <c r="D204" s="283">
        <f>insumos!$H$114*12</f>
        <v>0.3161371428571429</v>
      </c>
      <c r="E204" s="300" t="s">
        <v>568</v>
      </c>
      <c r="F204" s="291"/>
      <c r="G204" s="281"/>
      <c r="H204" s="282" t="s">
        <v>587</v>
      </c>
      <c r="I204" s="281">
        <v>13.4</v>
      </c>
      <c r="J204" s="269"/>
      <c r="K204" s="245"/>
      <c r="L204" s="281"/>
      <c r="M204" s="286" t="s">
        <v>587</v>
      </c>
      <c r="N204" s="304">
        <f>16537.37/1212</f>
        <v>13.644694719471946</v>
      </c>
      <c r="O204" s="245"/>
      <c r="AA204" s="281"/>
      <c r="AB204" s="282" t="s">
        <v>587</v>
      </c>
      <c r="AC204" s="304">
        <f>7911.57/382</f>
        <v>20.710916230366493</v>
      </c>
      <c r="AD204" s="245"/>
      <c r="AK204" s="26" t="s">
        <v>728</v>
      </c>
      <c r="AL204" s="30" t="s">
        <v>729</v>
      </c>
      <c r="AM204" s="283">
        <f>insumos!H215*3</f>
        <v>1.7999999999999998</v>
      </c>
      <c r="AN204" s="1" t="s">
        <v>526</v>
      </c>
      <c r="BE204" s="263">
        <v>442041</v>
      </c>
      <c r="BF204" s="264" t="s">
        <v>833</v>
      </c>
      <c r="BG204" s="267"/>
      <c r="BH204" s="269"/>
      <c r="CD204" s="275" t="s">
        <v>492</v>
      </c>
      <c r="CE204" s="276" t="s">
        <v>495</v>
      </c>
      <c r="CF204" s="275" t="s">
        <v>467</v>
      </c>
      <c r="CG204" s="269"/>
      <c r="CN204" s="311"/>
      <c r="CO204" s="307" t="s">
        <v>604</v>
      </c>
      <c r="CP204" s="308">
        <f>CP203*1.03</f>
        <v>0.37646348478850233</v>
      </c>
      <c r="CQ204" s="245"/>
    </row>
    <row r="205" spans="2:85" x14ac:dyDescent="0.25">
      <c r="B205" s="281">
        <v>6229</v>
      </c>
      <c r="C205" s="30" t="s">
        <v>588</v>
      </c>
      <c r="D205" s="283">
        <f>insumos!$I$265*12</f>
        <v>0.25825519982429496</v>
      </c>
      <c r="E205" s="300" t="s">
        <v>568</v>
      </c>
      <c r="F205" s="291"/>
      <c r="G205" s="281"/>
      <c r="H205" s="307" t="s">
        <v>599</v>
      </c>
      <c r="I205" s="308">
        <f>+I203/I204</f>
        <v>0.23823791336207534</v>
      </c>
      <c r="J205" s="269"/>
      <c r="K205" s="245"/>
      <c r="L205" s="281"/>
      <c r="M205" s="310" t="s">
        <v>599</v>
      </c>
      <c r="N205" s="308">
        <f>+N203/N204</f>
        <v>0.24280799998531763</v>
      </c>
      <c r="O205" s="245"/>
      <c r="Q205" s="263">
        <v>998040</v>
      </c>
      <c r="R205" s="264" t="s">
        <v>834</v>
      </c>
      <c r="S205" s="267"/>
      <c r="T205" s="245"/>
      <c r="AA205" s="281"/>
      <c r="AB205" s="307" t="s">
        <v>599</v>
      </c>
      <c r="AC205" s="308">
        <f>+AC203/AC204</f>
        <v>0.11836700330194098</v>
      </c>
      <c r="AD205" s="245"/>
      <c r="AK205" s="297"/>
      <c r="AL205" s="298" t="s">
        <v>5</v>
      </c>
      <c r="AM205" s="299">
        <f>SUM(AM196:AM204)</f>
        <v>4.148417451412528</v>
      </c>
      <c r="AN205" s="245"/>
      <c r="BE205" s="275" t="s">
        <v>492</v>
      </c>
      <c r="BF205" s="276" t="s">
        <v>495</v>
      </c>
      <c r="BG205" s="275" t="s">
        <v>467</v>
      </c>
      <c r="BH205" s="269"/>
      <c r="CD205" s="278"/>
      <c r="CE205" s="279" t="s">
        <v>134</v>
      </c>
      <c r="CF205" s="278"/>
      <c r="CG205" s="269"/>
    </row>
    <row r="206" spans="2:85" x14ac:dyDescent="0.25">
      <c r="B206" s="281">
        <v>6254</v>
      </c>
      <c r="C206" s="30" t="s">
        <v>600</v>
      </c>
      <c r="D206" s="283">
        <f>+insumos!$I$208*12</f>
        <v>0.5334893983701396</v>
      </c>
      <c r="E206" s="300" t="s">
        <v>568</v>
      </c>
      <c r="F206" s="291"/>
      <c r="G206" s="311"/>
      <c r="H206" s="307" t="s">
        <v>604</v>
      </c>
      <c r="I206" s="308">
        <f>I205*1.03</f>
        <v>0.2453850507629376</v>
      </c>
      <c r="J206" s="269"/>
      <c r="K206" s="245"/>
      <c r="L206" s="311"/>
      <c r="M206" s="310" t="s">
        <v>604</v>
      </c>
      <c r="N206" s="308">
        <f>N205*1.03</f>
        <v>0.2500922399848772</v>
      </c>
      <c r="O206" s="245"/>
      <c r="Q206" s="275" t="s">
        <v>492</v>
      </c>
      <c r="R206" s="276" t="s">
        <v>495</v>
      </c>
      <c r="S206" s="275" t="s">
        <v>467</v>
      </c>
      <c r="T206" s="245"/>
      <c r="AA206" s="311"/>
      <c r="AB206" s="307" t="s">
        <v>604</v>
      </c>
      <c r="AC206" s="308">
        <f>AC205*1.03</f>
        <v>0.12191801340099921</v>
      </c>
      <c r="AD206" s="245"/>
      <c r="AK206" s="281"/>
      <c r="AL206" s="282" t="s">
        <v>587</v>
      </c>
      <c r="AM206" s="304">
        <f>65733.97/3677</f>
        <v>17.877065542561873</v>
      </c>
      <c r="AN206" s="245"/>
      <c r="BE206" s="278"/>
      <c r="BF206" s="279" t="s">
        <v>134</v>
      </c>
      <c r="BG206" s="278"/>
      <c r="BH206" s="269"/>
      <c r="CD206" s="281">
        <v>3741</v>
      </c>
      <c r="CE206" s="282" t="s">
        <v>500</v>
      </c>
      <c r="CF206" s="283">
        <f>insumos!$G$213</f>
        <v>0.8355871886120997</v>
      </c>
      <c r="CG206" s="284"/>
    </row>
    <row r="207" spans="2:95" x14ac:dyDescent="0.25">
      <c r="B207" s="281">
        <v>5868</v>
      </c>
      <c r="C207" s="30" t="s">
        <v>605</v>
      </c>
      <c r="D207" s="283">
        <f>insumos!$I$243*12</f>
        <v>0.22752</v>
      </c>
      <c r="E207" s="300" t="s">
        <v>568</v>
      </c>
      <c r="F207" s="291"/>
      <c r="G207" s="245"/>
      <c r="H207" s="245"/>
      <c r="I207" s="245"/>
      <c r="J207" s="269"/>
      <c r="K207" s="245"/>
      <c r="L207" s="245"/>
      <c r="M207" s="245"/>
      <c r="N207" s="245"/>
      <c r="O207" s="245"/>
      <c r="Q207" s="278"/>
      <c r="R207" s="279" t="s">
        <v>134</v>
      </c>
      <c r="S207" s="278"/>
      <c r="T207" s="245"/>
      <c r="AK207" s="281"/>
      <c r="AL207" s="307" t="s">
        <v>599</v>
      </c>
      <c r="AM207" s="308">
        <f>+AM205/AM206</f>
        <v>0.2320524831961901</v>
      </c>
      <c r="AN207" s="245"/>
      <c r="BE207" s="281">
        <v>3741</v>
      </c>
      <c r="BF207" s="282" t="s">
        <v>500</v>
      </c>
      <c r="BG207" s="283">
        <f>insumos!$G$213</f>
        <v>0.8355871886120997</v>
      </c>
      <c r="BH207" s="284"/>
      <c r="CD207" s="26" t="s">
        <v>515</v>
      </c>
      <c r="CE207" s="30" t="s">
        <v>516</v>
      </c>
      <c r="CF207" s="283">
        <f>+insumos!$G$283</f>
        <v>1.1</v>
      </c>
      <c r="CG207" s="284"/>
      <c r="CN207" s="263">
        <v>3627032</v>
      </c>
      <c r="CO207" s="264" t="s">
        <v>818</v>
      </c>
      <c r="CP207" s="267"/>
      <c r="CQ207" s="269"/>
    </row>
    <row r="208" spans="2:95" x14ac:dyDescent="0.25">
      <c r="B208" s="297"/>
      <c r="C208" s="298" t="s">
        <v>5</v>
      </c>
      <c r="D208" s="299">
        <f>SUM(D195:D207)</f>
        <v>4.941301482451676</v>
      </c>
      <c r="E208" s="269"/>
      <c r="F208" s="245"/>
      <c r="G208" s="263">
        <v>437738</v>
      </c>
      <c r="H208" s="264" t="s">
        <v>835</v>
      </c>
      <c r="I208" s="267"/>
      <c r="L208" s="263">
        <v>436331</v>
      </c>
      <c r="M208" s="264" t="s">
        <v>836</v>
      </c>
      <c r="N208" s="265">
        <v>464</v>
      </c>
      <c r="O208" s="266">
        <f>N208/E2</f>
        <v>11.525086934923001</v>
      </c>
      <c r="Q208" s="281">
        <v>6184</v>
      </c>
      <c r="R208" s="1" t="s">
        <v>502</v>
      </c>
      <c r="S208" s="283">
        <f>insumos!$H$215</f>
        <v>0.6</v>
      </c>
      <c r="T208" s="245"/>
      <c r="AA208" s="263">
        <v>991114</v>
      </c>
      <c r="AB208" s="264" t="s">
        <v>837</v>
      </c>
      <c r="AC208" s="267"/>
      <c r="AD208" s="245"/>
      <c r="AK208" s="311"/>
      <c r="AL208" s="307" t="s">
        <v>604</v>
      </c>
      <c r="AM208" s="308">
        <f>AM207*1.03</f>
        <v>0.23901405769207582</v>
      </c>
      <c r="AN208" s="245"/>
      <c r="BE208" s="26" t="s">
        <v>517</v>
      </c>
      <c r="BF208" s="30" t="s">
        <v>518</v>
      </c>
      <c r="BG208" s="283">
        <f>+insumos!$H$263</f>
        <v>1.6</v>
      </c>
      <c r="BH208" s="284"/>
      <c r="CD208" s="281">
        <v>4986</v>
      </c>
      <c r="CE208" s="30" t="s">
        <v>530</v>
      </c>
      <c r="CF208" s="283">
        <f>insumos!$H$255</f>
        <v>0.18999987891300205</v>
      </c>
      <c r="CG208" s="284" t="s">
        <v>526</v>
      </c>
      <c r="CN208" s="275" t="s">
        <v>492</v>
      </c>
      <c r="CO208" s="276" t="s">
        <v>495</v>
      </c>
      <c r="CP208" s="275" t="s">
        <v>467</v>
      </c>
      <c r="CQ208" s="269"/>
    </row>
    <row r="209" spans="2:95" x14ac:dyDescent="0.25">
      <c r="B209" s="281"/>
      <c r="C209" s="282" t="s">
        <v>587</v>
      </c>
      <c r="D209" s="281">
        <v>7.6</v>
      </c>
      <c r="E209" s="269"/>
      <c r="F209" s="245"/>
      <c r="G209" s="275" t="s">
        <v>492</v>
      </c>
      <c r="H209" s="276" t="s">
        <v>495</v>
      </c>
      <c r="I209" s="275" t="s">
        <v>467</v>
      </c>
      <c r="J209" s="269"/>
      <c r="K209" s="245"/>
      <c r="L209" s="275" t="s">
        <v>492</v>
      </c>
      <c r="M209" s="277" t="s">
        <v>495</v>
      </c>
      <c r="N209" s="275" t="s">
        <v>467</v>
      </c>
      <c r="O209" s="245"/>
      <c r="Q209" s="281">
        <v>2037</v>
      </c>
      <c r="R209" s="282" t="s">
        <v>511</v>
      </c>
      <c r="S209" s="283">
        <f>+insumos!$H$268</f>
        <v>0.65</v>
      </c>
      <c r="T209" s="245"/>
      <c r="AA209" s="275" t="s">
        <v>492</v>
      </c>
      <c r="AB209" s="276" t="s">
        <v>495</v>
      </c>
      <c r="AC209" s="275" t="s">
        <v>467</v>
      </c>
      <c r="AD209" s="245"/>
      <c r="BE209" s="281">
        <v>4653</v>
      </c>
      <c r="BF209" s="282" t="s">
        <v>525</v>
      </c>
      <c r="BG209" s="283">
        <f>insumos!$H$254*4</f>
        <v>0.7456238442293049</v>
      </c>
      <c r="BH209" s="284" t="s">
        <v>531</v>
      </c>
      <c r="CD209" s="26" t="s">
        <v>539</v>
      </c>
      <c r="CE209" s="30" t="s">
        <v>540</v>
      </c>
      <c r="CF209" s="283">
        <f>insumos!$H$45</f>
        <v>0.028</v>
      </c>
      <c r="CG209" s="284"/>
      <c r="CN209" s="278"/>
      <c r="CO209" s="279" t="s">
        <v>134</v>
      </c>
      <c r="CP209" s="278"/>
      <c r="CQ209" s="269"/>
    </row>
    <row r="210" spans="2:95" x14ac:dyDescent="0.25">
      <c r="B210" s="281"/>
      <c r="C210" s="307" t="s">
        <v>599</v>
      </c>
      <c r="D210" s="308">
        <f>+D208/D209</f>
        <v>0.6501712476910101</v>
      </c>
      <c r="E210" s="269"/>
      <c r="F210" s="245"/>
      <c r="G210" s="278"/>
      <c r="H210" s="279" t="s">
        <v>134</v>
      </c>
      <c r="I210" s="278"/>
      <c r="J210" s="269"/>
      <c r="K210" s="245"/>
      <c r="L210" s="278"/>
      <c r="M210" s="280" t="s">
        <v>134</v>
      </c>
      <c r="N210" s="278"/>
      <c r="O210" s="245"/>
      <c r="Q210" s="281">
        <v>4542</v>
      </c>
      <c r="R210" s="282" t="s">
        <v>527</v>
      </c>
      <c r="S210" s="283">
        <f>insumos!$I$35</f>
        <v>0.022058823529411763</v>
      </c>
      <c r="AA210" s="278"/>
      <c r="AB210" s="279" t="s">
        <v>134</v>
      </c>
      <c r="AC210" s="278"/>
      <c r="AD210" s="245"/>
      <c r="BE210" s="26" t="s">
        <v>541</v>
      </c>
      <c r="BF210" s="30" t="s">
        <v>542</v>
      </c>
      <c r="BG210" s="283">
        <f>insumos!$H$50</f>
        <v>0.027941176470588237</v>
      </c>
      <c r="BH210" s="284"/>
      <c r="CD210" s="26">
        <v>3817</v>
      </c>
      <c r="CE210" s="243" t="s">
        <v>524</v>
      </c>
      <c r="CF210" s="289">
        <f>insumos!$I$103*1.8</f>
        <v>0.02088</v>
      </c>
      <c r="CG210" s="290" t="s">
        <v>537</v>
      </c>
      <c r="CN210" s="281">
        <v>5524</v>
      </c>
      <c r="CO210" s="1" t="s">
        <v>501</v>
      </c>
      <c r="CP210" s="283">
        <f>insumos!$H$217</f>
        <v>0.8950000000000001</v>
      </c>
      <c r="CQ210" s="269"/>
    </row>
    <row r="211" spans="2:95" x14ac:dyDescent="0.25">
      <c r="B211" s="311"/>
      <c r="C211" s="307" t="s">
        <v>604</v>
      </c>
      <c r="D211" s="308">
        <f>D210*1.03</f>
        <v>0.6696763851217404</v>
      </c>
      <c r="E211" s="269"/>
      <c r="F211" s="245"/>
      <c r="G211" s="281">
        <v>5524</v>
      </c>
      <c r="H211" s="1" t="s">
        <v>501</v>
      </c>
      <c r="I211" s="283">
        <f>insumos!$H$217</f>
        <v>0.8950000000000001</v>
      </c>
      <c r="J211" s="269"/>
      <c r="K211" s="245"/>
      <c r="L211" s="281">
        <v>3741</v>
      </c>
      <c r="M211" s="282" t="s">
        <v>500</v>
      </c>
      <c r="N211" s="283">
        <f>insumos!$G$213</f>
        <v>0.8355871886120997</v>
      </c>
      <c r="O211" s="285"/>
      <c r="Q211" s="26">
        <v>3817</v>
      </c>
      <c r="R211" s="243" t="s">
        <v>524</v>
      </c>
      <c r="S211" s="289">
        <f>insumos!$I$103*1.8</f>
        <v>0.02088</v>
      </c>
      <c r="T211" s="285" t="s">
        <v>538</v>
      </c>
      <c r="AA211" s="281">
        <v>6184</v>
      </c>
      <c r="AB211" s="1" t="s">
        <v>502</v>
      </c>
      <c r="AC211" s="283">
        <f>insumos!$H$215</f>
        <v>0.6</v>
      </c>
      <c r="AD211" s="245"/>
      <c r="BE211" s="26">
        <v>3817</v>
      </c>
      <c r="BF211" s="243" t="s">
        <v>524</v>
      </c>
      <c r="BG211" s="289">
        <f>insumos!$I$103*1.8</f>
        <v>0.02088</v>
      </c>
      <c r="BH211" s="290" t="s">
        <v>537</v>
      </c>
      <c r="CD211" s="26">
        <v>2173</v>
      </c>
      <c r="CE211" s="243" t="s">
        <v>536</v>
      </c>
      <c r="CF211" s="289">
        <f>+insumos!$H$149*2</f>
        <v>0.0349502662966019</v>
      </c>
      <c r="CG211" s="291" t="s">
        <v>547</v>
      </c>
      <c r="CN211" s="281">
        <v>5523</v>
      </c>
      <c r="CO211" s="282" t="s">
        <v>508</v>
      </c>
      <c r="CP211" s="283">
        <f>+insumos!$H$285</f>
        <v>1.1829611337771098</v>
      </c>
      <c r="CQ211" s="269"/>
    </row>
    <row r="212" spans="7:95" x14ac:dyDescent="0.25">
      <c r="G212" s="281">
        <v>5523</v>
      </c>
      <c r="H212" s="282" t="s">
        <v>508</v>
      </c>
      <c r="I212" s="283">
        <f>+insumos!$H$285</f>
        <v>1.1829611337771098</v>
      </c>
      <c r="J212" s="284"/>
      <c r="K212" s="285"/>
      <c r="L212" s="26" t="s">
        <v>509</v>
      </c>
      <c r="M212" s="30" t="s">
        <v>510</v>
      </c>
      <c r="N212" s="283">
        <f>+insumos!$H$267</f>
        <v>1.2</v>
      </c>
      <c r="O212" s="285"/>
      <c r="Q212" s="26">
        <v>2173</v>
      </c>
      <c r="R212" s="243" t="s">
        <v>536</v>
      </c>
      <c r="S212" s="289">
        <f>+insumos!$H$149*2</f>
        <v>0.0349502662966019</v>
      </c>
      <c r="T212" s="1" t="s">
        <v>547</v>
      </c>
      <c r="AA212" s="281">
        <v>2037</v>
      </c>
      <c r="AB212" s="282" t="s">
        <v>511</v>
      </c>
      <c r="AC212" s="283">
        <f>+insumos!$H$268</f>
        <v>0.65</v>
      </c>
      <c r="AD212" s="245"/>
      <c r="BE212" s="26">
        <v>2173</v>
      </c>
      <c r="BF212" s="243" t="s">
        <v>536</v>
      </c>
      <c r="BG212" s="289">
        <f>+insumos!$H$149*2</f>
        <v>0.0349502662966019</v>
      </c>
      <c r="BH212" s="291" t="s">
        <v>547</v>
      </c>
      <c r="CD212" s="281">
        <v>3636</v>
      </c>
      <c r="CE212" s="282" t="s">
        <v>550</v>
      </c>
      <c r="CF212" s="283">
        <f>+insumos!$H$121</f>
        <v>0.0445</v>
      </c>
      <c r="CG212" s="284"/>
      <c r="CN212" s="281">
        <v>4986</v>
      </c>
      <c r="CO212" s="1" t="s">
        <v>530</v>
      </c>
      <c r="CP212" s="283">
        <f>insumos!$H$255*3</f>
        <v>0.5699996367390061</v>
      </c>
      <c r="CQ212" s="284" t="s">
        <v>526</v>
      </c>
    </row>
    <row r="213" spans="2:95" x14ac:dyDescent="0.25">
      <c r="B213" s="263">
        <v>439070</v>
      </c>
      <c r="C213" s="264" t="s">
        <v>838</v>
      </c>
      <c r="D213" s="267">
        <v>890</v>
      </c>
      <c r="E213" s="272">
        <f>D213/E2</f>
        <v>22.106308991554894</v>
      </c>
      <c r="F213" s="245"/>
      <c r="G213" s="281">
        <v>4542</v>
      </c>
      <c r="H213" s="282" t="s">
        <v>527</v>
      </c>
      <c r="I213" s="283">
        <f>insumos!$I$35</f>
        <v>0.022058823529411763</v>
      </c>
      <c r="J213" s="284"/>
      <c r="K213" s="285"/>
      <c r="L213" s="281">
        <v>4541</v>
      </c>
      <c r="M213" s="282" t="s">
        <v>528</v>
      </c>
      <c r="N213" s="283">
        <f>insumos!$H$43</f>
        <v>0.022058823529411766</v>
      </c>
      <c r="O213" s="285"/>
      <c r="Q213" s="281">
        <v>3636</v>
      </c>
      <c r="R213" s="282" t="s">
        <v>550</v>
      </c>
      <c r="S213" s="283">
        <f>+insumos!$H$121</f>
        <v>0.0445</v>
      </c>
      <c r="T213" s="245"/>
      <c r="AA213" s="281">
        <v>4542</v>
      </c>
      <c r="AB213" s="282" t="s">
        <v>527</v>
      </c>
      <c r="AC213" s="283">
        <f>insumos!$I$35</f>
        <v>0.022058823529411763</v>
      </c>
      <c r="AD213" s="245"/>
      <c r="BE213" s="281">
        <v>3636</v>
      </c>
      <c r="BF213" s="282" t="s">
        <v>550</v>
      </c>
      <c r="BG213" s="283">
        <f>+insumos!$H$121</f>
        <v>0.0445</v>
      </c>
      <c r="BH213" s="284"/>
      <c r="CD213" s="292"/>
      <c r="CE213" s="279" t="s">
        <v>553</v>
      </c>
      <c r="CF213" s="293"/>
      <c r="CG213" s="284"/>
      <c r="CN213" s="281">
        <v>4542</v>
      </c>
      <c r="CO213" s="282" t="s">
        <v>527</v>
      </c>
      <c r="CP213" s="283">
        <f>insumos!$I$35</f>
        <v>0.022058823529411763</v>
      </c>
      <c r="CQ213" s="284"/>
    </row>
    <row r="214" spans="2:95" x14ac:dyDescent="0.25">
      <c r="B214" s="275" t="s">
        <v>492</v>
      </c>
      <c r="C214" s="276" t="s">
        <v>495</v>
      </c>
      <c r="D214" s="275" t="s">
        <v>467</v>
      </c>
      <c r="E214" s="269"/>
      <c r="F214" s="245"/>
      <c r="G214" s="26">
        <v>3817</v>
      </c>
      <c r="H214" s="243" t="s">
        <v>524</v>
      </c>
      <c r="I214" s="289">
        <f>insumos!$I$103*1.8</f>
        <v>0.02088</v>
      </c>
      <c r="J214" s="284"/>
      <c r="K214" s="285"/>
      <c r="L214" s="26">
        <v>3817</v>
      </c>
      <c r="M214" s="288" t="s">
        <v>524</v>
      </c>
      <c r="N214" s="289">
        <f>insumos!$I$103*1.8</f>
        <v>0.02088</v>
      </c>
      <c r="O214" s="290" t="s">
        <v>537</v>
      </c>
      <c r="Q214" s="292"/>
      <c r="R214" s="279" t="s">
        <v>553</v>
      </c>
      <c r="S214" s="293"/>
      <c r="T214" s="245"/>
      <c r="AA214" s="26">
        <v>3817</v>
      </c>
      <c r="AB214" s="243" t="s">
        <v>524</v>
      </c>
      <c r="AC214" s="289">
        <f>insumos!$I$103*1.8</f>
        <v>0.02088</v>
      </c>
      <c r="AD214" s="285" t="s">
        <v>538</v>
      </c>
      <c r="BE214" s="292"/>
      <c r="BF214" s="279" t="s">
        <v>553</v>
      </c>
      <c r="BG214" s="293"/>
      <c r="BH214" s="284"/>
      <c r="CD214" s="26" t="s">
        <v>594</v>
      </c>
      <c r="CE214" s="30" t="s">
        <v>595</v>
      </c>
      <c r="CF214" s="283">
        <f>insumos!$H$76*2</f>
        <v>0.4128013888888889</v>
      </c>
      <c r="CG214" s="291" t="s">
        <v>547</v>
      </c>
      <c r="CN214" s="26">
        <v>3817</v>
      </c>
      <c r="CO214" s="243" t="s">
        <v>524</v>
      </c>
      <c r="CP214" s="289">
        <f>insumos!$I$103*1.8</f>
        <v>0.02088</v>
      </c>
      <c r="CQ214" s="290" t="s">
        <v>537</v>
      </c>
    </row>
    <row r="215" spans="2:95" x14ac:dyDescent="0.25">
      <c r="B215" s="278"/>
      <c r="C215" s="279" t="s">
        <v>134</v>
      </c>
      <c r="D215" s="278"/>
      <c r="E215" s="269"/>
      <c r="F215" s="245"/>
      <c r="G215" s="26">
        <v>2173</v>
      </c>
      <c r="H215" s="243" t="s">
        <v>536</v>
      </c>
      <c r="I215" s="289">
        <f>+insumos!$H$149*2</f>
        <v>0.0349502662966019</v>
      </c>
      <c r="J215" s="290" t="s">
        <v>537</v>
      </c>
      <c r="K215" s="290"/>
      <c r="L215" s="26">
        <v>2173</v>
      </c>
      <c r="M215" s="288" t="s">
        <v>536</v>
      </c>
      <c r="N215" s="289">
        <f>+insumos!$H$149*2</f>
        <v>0.0349502662966019</v>
      </c>
      <c r="O215" s="291" t="s">
        <v>547</v>
      </c>
      <c r="Q215" s="26"/>
      <c r="R215" s="1"/>
      <c r="S215" s="283"/>
      <c r="T215" s="1"/>
      <c r="AA215" s="26">
        <v>2173</v>
      </c>
      <c r="AB215" s="243" t="s">
        <v>536</v>
      </c>
      <c r="AC215" s="289">
        <f>+insumos!$H$149*2</f>
        <v>0.0349502662966019</v>
      </c>
      <c r="AD215" s="1" t="s">
        <v>547</v>
      </c>
      <c r="BE215" s="26" t="s">
        <v>566</v>
      </c>
      <c r="BF215" s="30" t="s">
        <v>567</v>
      </c>
      <c r="BG215" s="283">
        <f>insumos!$H$113*20</f>
        <v>0.540189077243429</v>
      </c>
      <c r="BH215" s="300" t="s">
        <v>707</v>
      </c>
      <c r="CD215" s="26" t="s">
        <v>566</v>
      </c>
      <c r="CE215" s="30" t="s">
        <v>567</v>
      </c>
      <c r="CF215" s="283">
        <f>insumos!$H$113*2</f>
        <v>0.0540189077243429</v>
      </c>
      <c r="CG215" s="291" t="s">
        <v>547</v>
      </c>
      <c r="CN215" s="26">
        <v>2173</v>
      </c>
      <c r="CO215" s="243" t="s">
        <v>536</v>
      </c>
      <c r="CP215" s="289">
        <f>+insumos!$H$149*2</f>
        <v>0.0349502662966019</v>
      </c>
      <c r="CQ215" s="291" t="s">
        <v>547</v>
      </c>
    </row>
    <row r="216" spans="2:94" x14ac:dyDescent="0.25">
      <c r="B216" s="281">
        <v>5524</v>
      </c>
      <c r="C216" s="1" t="s">
        <v>501</v>
      </c>
      <c r="D216" s="283">
        <f>insumos!$H$217</f>
        <v>0.8950000000000001</v>
      </c>
      <c r="E216" s="284"/>
      <c r="F216" s="285"/>
      <c r="G216" s="281">
        <v>3636</v>
      </c>
      <c r="H216" s="282" t="s">
        <v>550</v>
      </c>
      <c r="I216" s="283">
        <f>+insumos!$H$121</f>
        <v>0.0445</v>
      </c>
      <c r="J216" s="291" t="s">
        <v>547</v>
      </c>
      <c r="K216" s="291"/>
      <c r="L216" s="281">
        <v>3636</v>
      </c>
      <c r="M216" s="286" t="s">
        <v>550</v>
      </c>
      <c r="N216" s="283">
        <f>+insumos!$H$121</f>
        <v>0.0445</v>
      </c>
      <c r="O216" s="285"/>
      <c r="Q216" s="297"/>
      <c r="R216" s="298" t="s">
        <v>5</v>
      </c>
      <c r="S216" s="299">
        <f>SUM(S208:S215)</f>
        <v>1.3723890898260136</v>
      </c>
      <c r="T216" s="245"/>
      <c r="AA216" s="281">
        <v>3636</v>
      </c>
      <c r="AB216" s="282" t="s">
        <v>550</v>
      </c>
      <c r="AC216" s="283">
        <f>+insumos!$H$121</f>
        <v>0.0445</v>
      </c>
      <c r="AD216" s="245"/>
      <c r="BE216" s="281">
        <v>6229</v>
      </c>
      <c r="BF216" s="30" t="s">
        <v>588</v>
      </c>
      <c r="BG216" s="283">
        <f>insumos!$I$265*20</f>
        <v>0.43042533304049163</v>
      </c>
      <c r="BH216" s="300" t="s">
        <v>707</v>
      </c>
      <c r="CD216" s="281"/>
      <c r="CE216" s="30"/>
      <c r="CF216" s="283"/>
      <c r="CG216" s="296"/>
      <c r="CN216" s="281">
        <v>3636</v>
      </c>
      <c r="CO216" s="282" t="s">
        <v>550</v>
      </c>
      <c r="CP216" s="283">
        <f>+insumos!$H$121</f>
        <v>0.0445</v>
      </c>
    </row>
    <row r="217" spans="2:94" x14ac:dyDescent="0.25">
      <c r="B217" s="281">
        <v>5523</v>
      </c>
      <c r="C217" s="282" t="s">
        <v>508</v>
      </c>
      <c r="D217" s="283">
        <f>+insumos!$H$285</f>
        <v>1.1829611337771098</v>
      </c>
      <c r="E217" s="284"/>
      <c r="F217" s="285"/>
      <c r="G217" s="292"/>
      <c r="H217" s="279" t="s">
        <v>553</v>
      </c>
      <c r="I217" s="293"/>
      <c r="J217" s="284"/>
      <c r="K217" s="285"/>
      <c r="L217" s="292"/>
      <c r="M217" s="280" t="s">
        <v>553</v>
      </c>
      <c r="N217" s="293"/>
      <c r="O217" s="285"/>
      <c r="Q217" s="281"/>
      <c r="R217" s="282" t="s">
        <v>587</v>
      </c>
      <c r="S217" s="304">
        <f>98225/3929</f>
        <v>25</v>
      </c>
      <c r="T217" s="245"/>
      <c r="AA217" s="292"/>
      <c r="AB217" s="279" t="s">
        <v>553</v>
      </c>
      <c r="AC217" s="293"/>
      <c r="AD217" s="245"/>
      <c r="BE217" s="281">
        <v>6254</v>
      </c>
      <c r="BF217" s="30" t="s">
        <v>600</v>
      </c>
      <c r="BG217" s="283">
        <f>+insumos!$I$208*20</f>
        <v>0.889148997283566</v>
      </c>
      <c r="BH217" s="300" t="s">
        <v>707</v>
      </c>
      <c r="CD217" s="26"/>
      <c r="CE217" s="30"/>
      <c r="CF217" s="283"/>
      <c r="CG217" s="296"/>
      <c r="CN217" s="292"/>
      <c r="CO217" s="279" t="s">
        <v>553</v>
      </c>
      <c r="CP217" s="293"/>
    </row>
    <row r="218" spans="2:95" x14ac:dyDescent="0.25">
      <c r="B218" s="281">
        <v>4986</v>
      </c>
      <c r="C218" s="1" t="s">
        <v>530</v>
      </c>
      <c r="D218" s="283">
        <f>insumos!$H$255*3</f>
        <v>0.5699996367390061</v>
      </c>
      <c r="E218" s="284" t="s">
        <v>526</v>
      </c>
      <c r="F218" s="285"/>
      <c r="G218" s="281"/>
      <c r="H218" s="282"/>
      <c r="I218" s="283">
        <f>insumos!M493</f>
        <v>0</v>
      </c>
      <c r="J218" s="284"/>
      <c r="K218" s="291"/>
      <c r="L218" s="26" t="s">
        <v>839</v>
      </c>
      <c r="M218" s="30" t="s">
        <v>840</v>
      </c>
      <c r="N218" s="283">
        <f>insumos!$H$73*3</f>
        <v>0.6150034285714285</v>
      </c>
      <c r="O218" s="291" t="s">
        <v>526</v>
      </c>
      <c r="Q218" s="281"/>
      <c r="R218" s="307" t="s">
        <v>599</v>
      </c>
      <c r="S218" s="308">
        <f>+S216/S217</f>
        <v>0.05489556359304054</v>
      </c>
      <c r="T218" s="245"/>
      <c r="AA218" s="26" t="s">
        <v>653</v>
      </c>
      <c r="AB218" s="30" t="s">
        <v>654</v>
      </c>
      <c r="AC218" s="283">
        <f>insumos!$H$224*12</f>
        <v>1.2000000000000002</v>
      </c>
      <c r="AD218" s="1" t="s">
        <v>568</v>
      </c>
      <c r="BE218" s="26" t="s">
        <v>608</v>
      </c>
      <c r="BF218" s="30" t="s">
        <v>609</v>
      </c>
      <c r="BG218" s="283">
        <f>insumos!$H$176*20</f>
        <v>1.08</v>
      </c>
      <c r="BH218" s="300" t="s">
        <v>707</v>
      </c>
      <c r="CD218" s="297"/>
      <c r="CE218" s="298" t="s">
        <v>5</v>
      </c>
      <c r="CF218" s="299">
        <f>SUM(CF206:CF217)</f>
        <v>2.720737630434936</v>
      </c>
      <c r="CG218" s="300"/>
      <c r="CN218" s="281">
        <v>6208</v>
      </c>
      <c r="CO218" s="282" t="s">
        <v>573</v>
      </c>
      <c r="CP218" s="283">
        <f>insumos!$H$188*7</f>
        <v>0.6375764705882352</v>
      </c>
      <c r="CQ218" s="300" t="s">
        <v>661</v>
      </c>
    </row>
    <row r="219" spans="2:95" x14ac:dyDescent="0.25">
      <c r="B219" s="281">
        <v>4542</v>
      </c>
      <c r="C219" s="282" t="s">
        <v>527</v>
      </c>
      <c r="D219" s="283">
        <f>insumos!$I$35</f>
        <v>0.022058823529411763</v>
      </c>
      <c r="E219" s="284"/>
      <c r="F219" s="285"/>
      <c r="G219" s="281"/>
      <c r="H219" s="282"/>
      <c r="I219" s="283">
        <f>insumos!M420</f>
        <v>0</v>
      </c>
      <c r="J219" s="300"/>
      <c r="K219" s="291"/>
      <c r="L219" s="26" t="s">
        <v>566</v>
      </c>
      <c r="M219" s="30" t="s">
        <v>567</v>
      </c>
      <c r="N219" s="283">
        <f>insumos!$H$113*3</f>
        <v>0.08102836158651436</v>
      </c>
      <c r="O219" s="291" t="s">
        <v>526</v>
      </c>
      <c r="Q219" s="311"/>
      <c r="R219" s="307" t="s">
        <v>604</v>
      </c>
      <c r="S219" s="308">
        <f>S218*1.03</f>
        <v>0.05654243050083176</v>
      </c>
      <c r="AA219" s="26" t="s">
        <v>574</v>
      </c>
      <c r="AB219" s="1" t="s">
        <v>575</v>
      </c>
      <c r="AC219" s="283">
        <f>insumos!$H$120*12</f>
        <v>0.2388</v>
      </c>
      <c r="AD219" s="1" t="s">
        <v>568</v>
      </c>
      <c r="BE219" s="297"/>
      <c r="BF219" s="298" t="s">
        <v>5</v>
      </c>
      <c r="BG219" s="299">
        <f>SUM(BG207:BG218)</f>
        <v>6.249245883176082</v>
      </c>
      <c r="BH219" s="300"/>
      <c r="CD219" s="281"/>
      <c r="CE219" s="282" t="s">
        <v>587</v>
      </c>
      <c r="CF219" s="304">
        <f>182.97/15</f>
        <v>12.198</v>
      </c>
      <c r="CG219" s="269"/>
      <c r="CN219" s="281">
        <v>5202</v>
      </c>
      <c r="CO219" s="282" t="s">
        <v>586</v>
      </c>
      <c r="CP219" s="283">
        <f>insumos!$H$114*7</f>
        <v>0.18441333333333335</v>
      </c>
      <c r="CQ219" s="300" t="s">
        <v>661</v>
      </c>
    </row>
    <row r="220" spans="2:95" x14ac:dyDescent="0.25">
      <c r="B220" s="26">
        <v>3817</v>
      </c>
      <c r="C220" s="243" t="s">
        <v>524</v>
      </c>
      <c r="D220" s="289">
        <f>insumos!$I$103*1.8</f>
        <v>0.02088</v>
      </c>
      <c r="E220" s="290" t="s">
        <v>537</v>
      </c>
      <c r="F220" s="290"/>
      <c r="G220" s="297"/>
      <c r="H220" s="298" t="s">
        <v>5</v>
      </c>
      <c r="I220" s="299">
        <f>SUM(I211:I219)</f>
        <v>2.200350223603124</v>
      </c>
      <c r="J220" s="300"/>
      <c r="K220" s="291"/>
      <c r="L220" s="297"/>
      <c r="M220" s="303" t="s">
        <v>5</v>
      </c>
      <c r="N220" s="299">
        <f>SUM(N211:N219)</f>
        <v>2.8540080685960563</v>
      </c>
      <c r="O220" s="245"/>
      <c r="AA220" s="297"/>
      <c r="AB220" s="298" t="s">
        <v>5</v>
      </c>
      <c r="AC220" s="299">
        <f>SUM(AC211:AC219)</f>
        <v>2.8111890898260135</v>
      </c>
      <c r="AD220" s="245"/>
      <c r="BE220" s="281"/>
      <c r="BF220" s="282" t="s">
        <v>587</v>
      </c>
      <c r="BG220" s="304">
        <f>414.08/35</f>
        <v>11.830857142857143</v>
      </c>
      <c r="BH220" s="269"/>
      <c r="CD220" s="281"/>
      <c r="CE220" s="307" t="s">
        <v>599</v>
      </c>
      <c r="CF220" s="308">
        <f>+CF218/CF219</f>
        <v>0.22304784640391342</v>
      </c>
      <c r="CG220" s="269"/>
      <c r="CN220" s="26" t="s">
        <v>841</v>
      </c>
      <c r="CO220" s="30" t="s">
        <v>842</v>
      </c>
      <c r="CP220" s="283">
        <f>insumos!H55*7</f>
        <v>1.127</v>
      </c>
      <c r="CQ220" s="300" t="s">
        <v>661</v>
      </c>
    </row>
    <row r="221" spans="2:95" x14ac:dyDescent="0.25">
      <c r="B221" s="26">
        <v>2173</v>
      </c>
      <c r="C221" s="243" t="s">
        <v>536</v>
      </c>
      <c r="D221" s="289">
        <f>+insumos!$H$149*2</f>
        <v>0.0349502662966019</v>
      </c>
      <c r="E221" s="291" t="s">
        <v>547</v>
      </c>
      <c r="F221" s="291"/>
      <c r="G221" s="281"/>
      <c r="H221" s="282" t="s">
        <v>587</v>
      </c>
      <c r="I221" s="281">
        <v>11.9</v>
      </c>
      <c r="J221" s="269"/>
      <c r="K221" s="245"/>
      <c r="L221" s="281"/>
      <c r="M221" s="286" t="s">
        <v>587</v>
      </c>
      <c r="N221" s="304">
        <f>7871.73/482</f>
        <v>16.331390041493776</v>
      </c>
      <c r="O221" s="245"/>
      <c r="Q221" s="263">
        <v>998136</v>
      </c>
      <c r="R221" s="264" t="s">
        <v>843</v>
      </c>
      <c r="S221" s="267"/>
      <c r="T221" s="245"/>
      <c r="AA221" s="281"/>
      <c r="AB221" s="282" t="s">
        <v>587</v>
      </c>
      <c r="AC221" s="304">
        <f>1954.42/89</f>
        <v>21.959775280898878</v>
      </c>
      <c r="AD221" s="245"/>
      <c r="BE221" s="281"/>
      <c r="BF221" s="307" t="s">
        <v>599</v>
      </c>
      <c r="BG221" s="308">
        <f>+BG219/BG220</f>
        <v>0.5282158179848407</v>
      </c>
      <c r="BH221" s="269"/>
      <c r="CD221" s="311"/>
      <c r="CE221" s="307" t="s">
        <v>604</v>
      </c>
      <c r="CF221" s="308">
        <f>CF220*1.03</f>
        <v>0.22973928179603084</v>
      </c>
      <c r="CG221" s="269"/>
      <c r="CN221" s="281"/>
      <c r="CO221" s="30"/>
      <c r="CP221" s="283"/>
      <c r="CQ221" s="300"/>
    </row>
    <row r="222" spans="2:95" x14ac:dyDescent="0.25">
      <c r="B222" s="281">
        <v>3636</v>
      </c>
      <c r="C222" s="282" t="s">
        <v>550</v>
      </c>
      <c r="D222" s="283">
        <f>+insumos!$H$121</f>
        <v>0.0445</v>
      </c>
      <c r="E222" s="284"/>
      <c r="F222" s="285"/>
      <c r="G222" s="281"/>
      <c r="H222" s="307" t="s">
        <v>599</v>
      </c>
      <c r="I222" s="308">
        <f>+I220/I221</f>
        <v>0.18490338013471627</v>
      </c>
      <c r="J222" s="269"/>
      <c r="K222" s="245"/>
      <c r="L222" s="281"/>
      <c r="M222" s="310" t="s">
        <v>599</v>
      </c>
      <c r="N222" s="308">
        <f>+N220/N221</f>
        <v>0.1747559798244222</v>
      </c>
      <c r="O222" s="245"/>
      <c r="Q222" s="275" t="s">
        <v>492</v>
      </c>
      <c r="R222" s="276" t="s">
        <v>495</v>
      </c>
      <c r="S222" s="275" t="s">
        <v>467</v>
      </c>
      <c r="T222" s="245"/>
      <c r="AA222" s="281"/>
      <c r="AB222" s="307" t="s">
        <v>599</v>
      </c>
      <c r="AC222" s="308">
        <f>+AC220/AC221</f>
        <v>0.128015385124239</v>
      </c>
      <c r="AD222" s="245"/>
      <c r="BE222" s="311"/>
      <c r="BF222" s="307" t="s">
        <v>604</v>
      </c>
      <c r="BG222" s="308">
        <f>BG221*1.03</f>
        <v>0.544062292524386</v>
      </c>
      <c r="BH222" s="269"/>
      <c r="CN222" s="281"/>
      <c r="CO222" s="30"/>
      <c r="CP222" s="283"/>
      <c r="CQ222" s="300"/>
    </row>
    <row r="223" spans="2:95" x14ac:dyDescent="0.25">
      <c r="B223" s="292"/>
      <c r="C223" s="279" t="s">
        <v>553</v>
      </c>
      <c r="D223" s="293"/>
      <c r="E223" s="284"/>
      <c r="F223" s="285"/>
      <c r="G223" s="311"/>
      <c r="H223" s="307" t="s">
        <v>604</v>
      </c>
      <c r="I223" s="308">
        <f>I222*1.03</f>
        <v>0.19045048153875777</v>
      </c>
      <c r="J223" s="269"/>
      <c r="K223" s="245"/>
      <c r="L223" s="311"/>
      <c r="M223" s="310" t="s">
        <v>604</v>
      </c>
      <c r="N223" s="308">
        <f>N222*1.03</f>
        <v>0.17999865921915487</v>
      </c>
      <c r="O223" s="245"/>
      <c r="Q223" s="278"/>
      <c r="R223" s="279" t="s">
        <v>134</v>
      </c>
      <c r="S223" s="278"/>
      <c r="T223" s="245"/>
      <c r="AA223" s="311"/>
      <c r="AB223" s="307" t="s">
        <v>604</v>
      </c>
      <c r="AC223" s="308">
        <f>AC222*1.03</f>
        <v>0.13185584667796615</v>
      </c>
      <c r="AD223" s="245"/>
      <c r="CN223" s="297"/>
      <c r="CO223" s="298" t="s">
        <v>5</v>
      </c>
      <c r="CP223" s="299">
        <f>SUM(CP210:CP222)</f>
        <v>4.719339664263699</v>
      </c>
      <c r="CQ223" s="300"/>
    </row>
    <row r="224" spans="2:95" x14ac:dyDescent="0.25">
      <c r="B224" s="281">
        <v>6207</v>
      </c>
      <c r="C224" s="282" t="s">
        <v>573</v>
      </c>
      <c r="D224" s="283">
        <f>insumos!H187*12</f>
        <v>1.1149751351351351</v>
      </c>
      <c r="E224" s="300" t="s">
        <v>568</v>
      </c>
      <c r="F224" s="291"/>
      <c r="G224" s="291"/>
      <c r="H224" s="291"/>
      <c r="I224" s="291"/>
      <c r="J224" s="269"/>
      <c r="K224" s="245"/>
      <c r="L224" s="245"/>
      <c r="M224" s="245"/>
      <c r="N224" s="245"/>
      <c r="O224" s="245"/>
      <c r="Q224" s="281">
        <v>6184</v>
      </c>
      <c r="R224" s="1" t="s">
        <v>502</v>
      </c>
      <c r="S224" s="283">
        <f>insumos!$H$215</f>
        <v>0.6</v>
      </c>
      <c r="T224" s="245"/>
      <c r="BE224" s="263">
        <v>442010</v>
      </c>
      <c r="BF224" s="264" t="s">
        <v>844</v>
      </c>
      <c r="BG224" s="267"/>
      <c r="BH224" s="269"/>
      <c r="CN224" s="281"/>
      <c r="CO224" s="282" t="s">
        <v>587</v>
      </c>
      <c r="CP224" s="304">
        <v>17.38</v>
      </c>
      <c r="CQ224" s="269"/>
    </row>
    <row r="225" spans="2:95" x14ac:dyDescent="0.25">
      <c r="B225" s="281">
        <v>5202</v>
      </c>
      <c r="C225" s="282" t="s">
        <v>586</v>
      </c>
      <c r="D225" s="283">
        <f>insumos!H114*12</f>
        <v>0.3161371428571429</v>
      </c>
      <c r="E225" s="300" t="s">
        <v>568</v>
      </c>
      <c r="F225" s="291"/>
      <c r="G225" s="263">
        <v>437832</v>
      </c>
      <c r="H225" s="264" t="s">
        <v>845</v>
      </c>
      <c r="I225" s="267"/>
      <c r="L225" s="263">
        <v>436338</v>
      </c>
      <c r="M225" s="264" t="s">
        <v>846</v>
      </c>
      <c r="N225" s="265">
        <v>690</v>
      </c>
      <c r="O225" s="266">
        <f>N225/E2</f>
        <v>17.138599105812222</v>
      </c>
      <c r="Q225" s="281">
        <v>2037</v>
      </c>
      <c r="R225" s="282" t="s">
        <v>511</v>
      </c>
      <c r="S225" s="283">
        <f>+insumos!$H$268</f>
        <v>0.65</v>
      </c>
      <c r="T225" s="245"/>
      <c r="AA225" s="263">
        <v>991127</v>
      </c>
      <c r="AB225" s="264" t="s">
        <v>805</v>
      </c>
      <c r="AC225" s="267"/>
      <c r="AD225" s="245"/>
      <c r="BE225" s="275" t="s">
        <v>492</v>
      </c>
      <c r="BF225" s="276" t="s">
        <v>495</v>
      </c>
      <c r="BG225" s="275" t="s">
        <v>467</v>
      </c>
      <c r="BH225" s="269"/>
      <c r="CN225" s="281"/>
      <c r="CO225" s="307" t="s">
        <v>599</v>
      </c>
      <c r="CP225" s="308">
        <f>+CP223/CP224</f>
        <v>0.2715385307401438</v>
      </c>
      <c r="CQ225" s="269"/>
    </row>
    <row r="226" spans="2:95" x14ac:dyDescent="0.25">
      <c r="B226" s="281">
        <v>6229</v>
      </c>
      <c r="C226" s="30" t="s">
        <v>588</v>
      </c>
      <c r="D226" s="283">
        <f>insumos!$I$265*12</f>
        <v>0.25825519982429496</v>
      </c>
      <c r="E226" s="300" t="s">
        <v>568</v>
      </c>
      <c r="F226" s="291"/>
      <c r="G226" s="275" t="s">
        <v>492</v>
      </c>
      <c r="H226" s="276" t="s">
        <v>495</v>
      </c>
      <c r="I226" s="275" t="s">
        <v>467</v>
      </c>
      <c r="J226" s="269"/>
      <c r="K226" s="245"/>
      <c r="L226" s="275" t="s">
        <v>492</v>
      </c>
      <c r="M226" s="277" t="s">
        <v>495</v>
      </c>
      <c r="N226" s="275" t="s">
        <v>467</v>
      </c>
      <c r="O226" s="245"/>
      <c r="Q226" s="281">
        <v>4542</v>
      </c>
      <c r="R226" s="282" t="s">
        <v>527</v>
      </c>
      <c r="S226" s="283">
        <f>insumos!$I$35</f>
        <v>0.022058823529411763</v>
      </c>
      <c r="AA226" s="275" t="s">
        <v>492</v>
      </c>
      <c r="AB226" s="276" t="s">
        <v>495</v>
      </c>
      <c r="AC226" s="275" t="s">
        <v>467</v>
      </c>
      <c r="AD226" s="245"/>
      <c r="BE226" s="278"/>
      <c r="BF226" s="279" t="s">
        <v>134</v>
      </c>
      <c r="BG226" s="278"/>
      <c r="BH226" s="269"/>
      <c r="CN226" s="311"/>
      <c r="CO226" s="307" t="s">
        <v>604</v>
      </c>
      <c r="CP226" s="308">
        <f>CP225*1.03</f>
        <v>0.2796846866623481</v>
      </c>
      <c r="CQ226" s="245"/>
    </row>
    <row r="227" spans="2:60" x14ac:dyDescent="0.25">
      <c r="B227" s="281">
        <v>6254</v>
      </c>
      <c r="C227" s="30" t="s">
        <v>600</v>
      </c>
      <c r="D227" s="283">
        <f>+insumos!$I$208*12</f>
        <v>0.5334893983701396</v>
      </c>
      <c r="E227" s="300" t="s">
        <v>568</v>
      </c>
      <c r="F227" s="291"/>
      <c r="G227" s="278"/>
      <c r="H227" s="279" t="s">
        <v>134</v>
      </c>
      <c r="I227" s="278"/>
      <c r="J227" s="269"/>
      <c r="K227" s="245"/>
      <c r="L227" s="278"/>
      <c r="M227" s="280" t="s">
        <v>134</v>
      </c>
      <c r="N227" s="278"/>
      <c r="O227" s="245"/>
      <c r="Q227" s="26">
        <v>3817</v>
      </c>
      <c r="R227" s="243" t="s">
        <v>524</v>
      </c>
      <c r="S227" s="289">
        <f>insumos!$I$103*1.8</f>
        <v>0.02088</v>
      </c>
      <c r="T227" s="285" t="s">
        <v>538</v>
      </c>
      <c r="AA227" s="278"/>
      <c r="AB227" s="279" t="s">
        <v>134</v>
      </c>
      <c r="AC227" s="278"/>
      <c r="AD227" s="245"/>
      <c r="BE227" s="281">
        <v>3741</v>
      </c>
      <c r="BF227" s="282" t="s">
        <v>500</v>
      </c>
      <c r="BG227" s="283">
        <f>insumos!$G$213</f>
        <v>0.8355871886120997</v>
      </c>
      <c r="BH227" s="284"/>
    </row>
    <row r="228" spans="2:60" x14ac:dyDescent="0.25">
      <c r="B228" s="281">
        <v>5868</v>
      </c>
      <c r="C228" s="30" t="s">
        <v>605</v>
      </c>
      <c r="D228" s="283">
        <f>insumos!$I$243*12</f>
        <v>0.22752</v>
      </c>
      <c r="E228" s="300" t="s">
        <v>568</v>
      </c>
      <c r="F228" s="291"/>
      <c r="G228" s="281">
        <v>5524</v>
      </c>
      <c r="H228" s="1" t="s">
        <v>501</v>
      </c>
      <c r="I228" s="283">
        <f>insumos!$H$217</f>
        <v>0.8950000000000001</v>
      </c>
      <c r="J228" s="269"/>
      <c r="K228" s="245"/>
      <c r="L228" s="281">
        <v>5524</v>
      </c>
      <c r="M228" s="1" t="s">
        <v>501</v>
      </c>
      <c r="N228" s="283">
        <f>insumos!$H$217</f>
        <v>0.8950000000000001</v>
      </c>
      <c r="O228" s="285"/>
      <c r="Q228" s="26">
        <v>2173</v>
      </c>
      <c r="R228" s="243" t="s">
        <v>536</v>
      </c>
      <c r="S228" s="289">
        <f>+insumos!$H$149*2</f>
        <v>0.0349502662966019</v>
      </c>
      <c r="T228" s="1" t="s">
        <v>547</v>
      </c>
      <c r="AA228" s="281">
        <v>6184</v>
      </c>
      <c r="AB228" s="1" t="s">
        <v>502</v>
      </c>
      <c r="AC228" s="283">
        <f>insumos!$H$215</f>
        <v>0.6</v>
      </c>
      <c r="AD228" s="245"/>
      <c r="BE228" s="26" t="s">
        <v>517</v>
      </c>
      <c r="BF228" s="30" t="s">
        <v>518</v>
      </c>
      <c r="BG228" s="283">
        <f>+insumos!$H$263</f>
        <v>1.6</v>
      </c>
      <c r="BH228" s="284"/>
    </row>
    <row r="229" spans="2:60" x14ac:dyDescent="0.25">
      <c r="B229" s="297"/>
      <c r="C229" s="298" t="s">
        <v>5</v>
      </c>
      <c r="D229" s="299">
        <f>SUM(D216:D228)</f>
        <v>5.220726736528843</v>
      </c>
      <c r="E229" s="269"/>
      <c r="F229" s="245"/>
      <c r="G229" s="281">
        <v>5523</v>
      </c>
      <c r="H229" s="282" t="s">
        <v>508</v>
      </c>
      <c r="I229" s="283">
        <f>+insumos!$H$285</f>
        <v>1.1829611337771098</v>
      </c>
      <c r="J229" s="284"/>
      <c r="K229" s="285"/>
      <c r="L229" s="26" t="s">
        <v>513</v>
      </c>
      <c r="M229" s="30" t="s">
        <v>514</v>
      </c>
      <c r="N229" s="283">
        <f>+insumos!$H$266</f>
        <v>1.1500000000000001</v>
      </c>
      <c r="O229" s="285"/>
      <c r="Q229" s="281">
        <v>3636</v>
      </c>
      <c r="R229" s="282" t="s">
        <v>550</v>
      </c>
      <c r="S229" s="283">
        <f>+insumos!$H$121</f>
        <v>0.0445</v>
      </c>
      <c r="T229" s="245"/>
      <c r="AA229" s="281">
        <v>2037</v>
      </c>
      <c r="AB229" s="282" t="s">
        <v>511</v>
      </c>
      <c r="AC229" s="283">
        <f>+insumos!$H$268</f>
        <v>0.65</v>
      </c>
      <c r="AD229" s="245"/>
      <c r="BE229" s="281">
        <v>4653</v>
      </c>
      <c r="BF229" s="282" t="s">
        <v>525</v>
      </c>
      <c r="BG229" s="283">
        <f>insumos!$H$254*2</f>
        <v>0.37281192211465247</v>
      </c>
      <c r="BH229" s="284" t="s">
        <v>532</v>
      </c>
    </row>
    <row r="230" spans="2:60" x14ac:dyDescent="0.25">
      <c r="B230" s="281"/>
      <c r="C230" s="282" t="s">
        <v>587</v>
      </c>
      <c r="D230" s="281">
        <v>13.48</v>
      </c>
      <c r="E230" s="269"/>
      <c r="F230" s="245"/>
      <c r="G230" s="281">
        <v>4542</v>
      </c>
      <c r="H230" s="282" t="s">
        <v>527</v>
      </c>
      <c r="I230" s="283">
        <f>insumos!$I$35</f>
        <v>0.022058823529411763</v>
      </c>
      <c r="J230" s="284"/>
      <c r="K230" s="285"/>
      <c r="L230" s="281">
        <v>4542</v>
      </c>
      <c r="M230" s="286" t="s">
        <v>527</v>
      </c>
      <c r="N230" s="283">
        <f>insumos!$I$35</f>
        <v>0.022058823529411763</v>
      </c>
      <c r="O230" s="285"/>
      <c r="Q230" s="292"/>
      <c r="R230" s="279" t="s">
        <v>553</v>
      </c>
      <c r="S230" s="293"/>
      <c r="T230" s="245"/>
      <c r="AA230" s="281">
        <v>4542</v>
      </c>
      <c r="AB230" s="282" t="s">
        <v>527</v>
      </c>
      <c r="AC230" s="283">
        <f>insumos!$I$35</f>
        <v>0.022058823529411763</v>
      </c>
      <c r="AD230" s="245"/>
      <c r="BE230" s="26" t="s">
        <v>541</v>
      </c>
      <c r="BF230" s="30" t="s">
        <v>542</v>
      </c>
      <c r="BG230" s="283">
        <f>insumos!$H$50</f>
        <v>0.027941176470588237</v>
      </c>
      <c r="BH230" s="284"/>
    </row>
    <row r="231" spans="2:60" x14ac:dyDescent="0.25">
      <c r="B231" s="281"/>
      <c r="C231" s="307" t="s">
        <v>599</v>
      </c>
      <c r="D231" s="308">
        <f>+D229/D230</f>
        <v>0.38729426828848984</v>
      </c>
      <c r="E231" s="269"/>
      <c r="F231" s="245"/>
      <c r="G231" s="26">
        <v>3817</v>
      </c>
      <c r="H231" s="243" t="s">
        <v>524</v>
      </c>
      <c r="I231" s="289">
        <f>insumos!$I$103*1.8</f>
        <v>0.02088</v>
      </c>
      <c r="J231" s="284"/>
      <c r="K231" s="285"/>
      <c r="L231" s="26">
        <v>3817</v>
      </c>
      <c r="M231" s="288" t="s">
        <v>524</v>
      </c>
      <c r="N231" s="289">
        <f>insumos!$I$103*1.8</f>
        <v>0.02088</v>
      </c>
      <c r="O231" s="290" t="s">
        <v>537</v>
      </c>
      <c r="Q231" s="26" t="s">
        <v>691</v>
      </c>
      <c r="R231" s="30" t="s">
        <v>692</v>
      </c>
      <c r="S231" s="283">
        <f>insumos!$H$93*5</f>
        <v>0.5700000000000001</v>
      </c>
      <c r="T231" s="1" t="s">
        <v>652</v>
      </c>
      <c r="AA231" s="26">
        <v>3817</v>
      </c>
      <c r="AB231" s="243" t="s">
        <v>524</v>
      </c>
      <c r="AC231" s="289">
        <f>insumos!$I$103*1.8</f>
        <v>0.02088</v>
      </c>
      <c r="AD231" s="285" t="s">
        <v>538</v>
      </c>
      <c r="BE231" s="26">
        <v>3817</v>
      </c>
      <c r="BF231" s="243" t="s">
        <v>524</v>
      </c>
      <c r="BG231" s="289">
        <f>insumos!$I$103*1.8</f>
        <v>0.02088</v>
      </c>
      <c r="BH231" s="290" t="s">
        <v>537</v>
      </c>
    </row>
    <row r="232" spans="2:60" x14ac:dyDescent="0.25">
      <c r="B232" s="311"/>
      <c r="C232" s="307" t="s">
        <v>604</v>
      </c>
      <c r="D232" s="308">
        <f>D231*1.03</f>
        <v>0.39891309633714456</v>
      </c>
      <c r="E232" s="269"/>
      <c r="F232" s="245"/>
      <c r="G232" s="26">
        <v>2173</v>
      </c>
      <c r="H232" s="243" t="s">
        <v>536</v>
      </c>
      <c r="I232" s="289">
        <f>+insumos!$H$149*2</f>
        <v>0.0349502662966019</v>
      </c>
      <c r="J232" s="290" t="s">
        <v>537</v>
      </c>
      <c r="K232" s="290"/>
      <c r="L232" s="26">
        <v>2173</v>
      </c>
      <c r="M232" s="288" t="s">
        <v>536</v>
      </c>
      <c r="N232" s="289">
        <f>+insumos!$H$149*2</f>
        <v>0.0349502662966019</v>
      </c>
      <c r="O232" s="291" t="s">
        <v>547</v>
      </c>
      <c r="Q232" s="297"/>
      <c r="R232" s="298" t="s">
        <v>5</v>
      </c>
      <c r="S232" s="299">
        <f>SUM(S224:S231)</f>
        <v>1.9423890898260137</v>
      </c>
      <c r="T232" s="245"/>
      <c r="AA232" s="26">
        <v>2173</v>
      </c>
      <c r="AB232" s="243" t="s">
        <v>536</v>
      </c>
      <c r="AC232" s="289">
        <f>+insumos!$H$149*2</f>
        <v>0.0349502662966019</v>
      </c>
      <c r="AD232" s="1" t="s">
        <v>547</v>
      </c>
      <c r="BE232" s="26">
        <v>2173</v>
      </c>
      <c r="BF232" s="243" t="s">
        <v>536</v>
      </c>
      <c r="BG232" s="289">
        <f>+insumos!$H$149*2</f>
        <v>0.0349502662966019</v>
      </c>
      <c r="BH232" s="291" t="s">
        <v>547</v>
      </c>
    </row>
    <row r="233" spans="2:60" x14ac:dyDescent="0.25">
      <c r="B233" s="245"/>
      <c r="C233" s="245"/>
      <c r="D233" s="245"/>
      <c r="E233" s="245"/>
      <c r="G233" s="281">
        <v>3636</v>
      </c>
      <c r="H233" s="282" t="s">
        <v>550</v>
      </c>
      <c r="I233" s="283">
        <f>+insumos!$H$121</f>
        <v>0.0445</v>
      </c>
      <c r="J233" s="291" t="s">
        <v>547</v>
      </c>
      <c r="K233" s="291"/>
      <c r="L233" s="281">
        <v>3636</v>
      </c>
      <c r="M233" s="286" t="s">
        <v>550</v>
      </c>
      <c r="N233" s="283">
        <f>+insumos!$H$121</f>
        <v>0.0445</v>
      </c>
      <c r="O233" s="285"/>
      <c r="Q233" s="281"/>
      <c r="R233" s="282" t="s">
        <v>587</v>
      </c>
      <c r="S233" s="304">
        <f>23059.86/1169</f>
        <v>19.726142001710866</v>
      </c>
      <c r="T233" s="245"/>
      <c r="AA233" s="281">
        <v>3636</v>
      </c>
      <c r="AB233" s="282" t="s">
        <v>550</v>
      </c>
      <c r="AC233" s="283">
        <f>+insumos!$H$121</f>
        <v>0.0445</v>
      </c>
      <c r="AD233" s="245"/>
      <c r="BE233" s="281">
        <v>3636</v>
      </c>
      <c r="BF233" s="282" t="s">
        <v>550</v>
      </c>
      <c r="BG233" s="283">
        <f>+insumos!$H$121</f>
        <v>0.0445</v>
      </c>
      <c r="BH233" s="284"/>
    </row>
    <row r="234" spans="2:60" x14ac:dyDescent="0.25">
      <c r="B234" s="263">
        <v>439071</v>
      </c>
      <c r="C234" s="264" t="s">
        <v>847</v>
      </c>
      <c r="D234" s="267">
        <v>660</v>
      </c>
      <c r="E234" s="272">
        <f>D234/E2</f>
        <v>16.393442622950822</v>
      </c>
      <c r="F234" s="245"/>
      <c r="G234" s="292"/>
      <c r="H234" s="279" t="s">
        <v>553</v>
      </c>
      <c r="I234" s="293"/>
      <c r="J234" s="284"/>
      <c r="K234" s="285"/>
      <c r="L234" s="292"/>
      <c r="M234" s="280" t="s">
        <v>553</v>
      </c>
      <c r="N234" s="293"/>
      <c r="O234" s="285"/>
      <c r="Q234" s="281"/>
      <c r="R234" s="307" t="s">
        <v>599</v>
      </c>
      <c r="S234" s="308">
        <f>+S232/S233</f>
        <v>0.09846776372478452</v>
      </c>
      <c r="T234" s="245"/>
      <c r="AA234" s="292"/>
      <c r="AB234" s="279" t="s">
        <v>553</v>
      </c>
      <c r="AC234" s="293"/>
      <c r="AD234" s="245"/>
      <c r="BE234" s="292"/>
      <c r="BF234" s="279" t="s">
        <v>553</v>
      </c>
      <c r="BG234" s="293"/>
      <c r="BH234" s="284"/>
    </row>
    <row r="235" spans="2:60" x14ac:dyDescent="0.25">
      <c r="B235" s="275" t="s">
        <v>492</v>
      </c>
      <c r="C235" s="276" t="s">
        <v>495</v>
      </c>
      <c r="D235" s="275" t="s">
        <v>467</v>
      </c>
      <c r="E235" s="269"/>
      <c r="F235" s="245"/>
      <c r="G235" s="26" t="s">
        <v>697</v>
      </c>
      <c r="H235" s="30" t="s">
        <v>698</v>
      </c>
      <c r="I235" s="283">
        <f>insumos!$H$24*8</f>
        <v>1.768</v>
      </c>
      <c r="J235" s="284"/>
      <c r="K235" s="285"/>
      <c r="L235" s="319"/>
      <c r="M235" s="320" t="s">
        <v>848</v>
      </c>
      <c r="N235" s="321"/>
      <c r="O235" s="291"/>
      <c r="Q235" s="311"/>
      <c r="R235" s="307" t="s">
        <v>604</v>
      </c>
      <c r="S235" s="308">
        <f>S234*1.03</f>
        <v>0.10142179663652806</v>
      </c>
      <c r="AA235" s="26" t="s">
        <v>653</v>
      </c>
      <c r="AB235" s="30" t="s">
        <v>654</v>
      </c>
      <c r="AC235" s="283">
        <f>insumos!$H$224*5</f>
        <v>0.5</v>
      </c>
      <c r="AD235" s="1" t="s">
        <v>652</v>
      </c>
      <c r="BE235" s="26" t="s">
        <v>566</v>
      </c>
      <c r="BF235" s="30" t="s">
        <v>567</v>
      </c>
      <c r="BG235" s="283">
        <f>insumos!$H$113*12</f>
        <v>0.32411344634605743</v>
      </c>
      <c r="BH235" s="300" t="s">
        <v>568</v>
      </c>
    </row>
    <row r="236" spans="2:60" x14ac:dyDescent="0.25">
      <c r="B236" s="278"/>
      <c r="C236" s="279" t="s">
        <v>134</v>
      </c>
      <c r="D236" s="278"/>
      <c r="E236" s="269"/>
      <c r="F236" s="245"/>
      <c r="G236" s="26" t="s">
        <v>566</v>
      </c>
      <c r="H236" s="30" t="s">
        <v>567</v>
      </c>
      <c r="I236" s="283">
        <f>insumos!$H$113*8</f>
        <v>0.2160756308973716</v>
      </c>
      <c r="J236" s="300"/>
      <c r="K236" s="291"/>
      <c r="L236" s="26" t="s">
        <v>566</v>
      </c>
      <c r="M236" s="30" t="s">
        <v>567</v>
      </c>
      <c r="N236" s="283">
        <f>insumos!$H$113*22</f>
        <v>0.5942079849677719</v>
      </c>
      <c r="O236" s="291" t="s">
        <v>849</v>
      </c>
      <c r="AA236" s="26" t="s">
        <v>574</v>
      </c>
      <c r="AB236" s="1" t="s">
        <v>575</v>
      </c>
      <c r="AC236" s="283">
        <f>insumos!$H$120*5</f>
        <v>0.0995</v>
      </c>
      <c r="AD236" s="1" t="s">
        <v>652</v>
      </c>
      <c r="BE236" s="281">
        <v>6229</v>
      </c>
      <c r="BF236" s="30" t="s">
        <v>588</v>
      </c>
      <c r="BG236" s="283">
        <f>insumos!$I$265*12</f>
        <v>0.25825519982429496</v>
      </c>
      <c r="BH236" s="300" t="s">
        <v>568</v>
      </c>
    </row>
    <row r="237" spans="2:60" x14ac:dyDescent="0.25">
      <c r="B237" s="281">
        <v>3741</v>
      </c>
      <c r="C237" s="282" t="s">
        <v>500</v>
      </c>
      <c r="D237" s="283">
        <f>insumos!$G$213</f>
        <v>0.8355871886120997</v>
      </c>
      <c r="E237" s="284"/>
      <c r="F237" s="285"/>
      <c r="G237" s="297"/>
      <c r="H237" s="298" t="s">
        <v>5</v>
      </c>
      <c r="I237" s="299">
        <f>SUM(I228:I236)</f>
        <v>4.184425854500495</v>
      </c>
      <c r="J237" s="300"/>
      <c r="K237" s="291"/>
      <c r="L237" s="297"/>
      <c r="M237" s="303" t="s">
        <v>5</v>
      </c>
      <c r="N237" s="299">
        <f>SUM(N228:N236)</f>
        <v>2.7615970747937864</v>
      </c>
      <c r="O237" s="245"/>
      <c r="Q237" s="263">
        <v>998140</v>
      </c>
      <c r="R237" s="264" t="s">
        <v>850</v>
      </c>
      <c r="S237" s="267"/>
      <c r="T237" s="245"/>
      <c r="AA237" s="297"/>
      <c r="AB237" s="298" t="s">
        <v>5</v>
      </c>
      <c r="AC237" s="299">
        <f>SUM(AC228:AC236)</f>
        <v>1.9718890898260135</v>
      </c>
      <c r="AD237" s="245"/>
      <c r="BE237" s="281">
        <v>6254</v>
      </c>
      <c r="BF237" s="30" t="s">
        <v>600</v>
      </c>
      <c r="BG237" s="283">
        <f>+insumos!$I$208*12</f>
        <v>0.5334893983701396</v>
      </c>
      <c r="BH237" s="300" t="s">
        <v>568</v>
      </c>
    </row>
    <row r="238" spans="2:60" x14ac:dyDescent="0.25">
      <c r="B238" s="281">
        <v>3759</v>
      </c>
      <c r="C238" s="1" t="s">
        <v>507</v>
      </c>
      <c r="D238" s="283">
        <f>+insumos!$G$284</f>
        <v>1.1352416613292604</v>
      </c>
      <c r="E238" s="284"/>
      <c r="F238" s="285"/>
      <c r="G238" s="281"/>
      <c r="H238" s="282" t="s">
        <v>587</v>
      </c>
      <c r="I238" s="281">
        <f>545.04/36</f>
        <v>15.139999999999999</v>
      </c>
      <c r="J238" s="269"/>
      <c r="K238" s="245"/>
      <c r="L238" s="281"/>
      <c r="M238" s="286" t="s">
        <v>587</v>
      </c>
      <c r="N238" s="304">
        <f>554.86/40</f>
        <v>13.871500000000001</v>
      </c>
      <c r="O238" s="245"/>
      <c r="Q238" s="275" t="s">
        <v>492</v>
      </c>
      <c r="R238" s="276" t="s">
        <v>495</v>
      </c>
      <c r="S238" s="275" t="s">
        <v>467</v>
      </c>
      <c r="T238" s="245"/>
      <c r="AA238" s="281"/>
      <c r="AB238" s="282" t="s">
        <v>587</v>
      </c>
      <c r="AC238" s="304">
        <f>15864.33/749</f>
        <v>21.180680907877168</v>
      </c>
      <c r="AD238" s="245"/>
      <c r="BE238" s="26" t="s">
        <v>608</v>
      </c>
      <c r="BF238" s="30" t="s">
        <v>609</v>
      </c>
      <c r="BG238" s="283">
        <f>insumos!$H$176*12</f>
        <v>0.648</v>
      </c>
      <c r="BH238" s="300" t="s">
        <v>568</v>
      </c>
    </row>
    <row r="239" spans="2:60" x14ac:dyDescent="0.25">
      <c r="B239" s="281">
        <v>4653</v>
      </c>
      <c r="C239" s="282" t="s">
        <v>525</v>
      </c>
      <c r="D239" s="283">
        <f>insumos!$H$254*2</f>
        <v>0.37281192211465247</v>
      </c>
      <c r="E239" s="284" t="s">
        <v>532</v>
      </c>
      <c r="F239" s="285"/>
      <c r="G239" s="281"/>
      <c r="H239" s="307" t="s">
        <v>599</v>
      </c>
      <c r="I239" s="308">
        <f>+I237/I238</f>
        <v>0.27638215683622824</v>
      </c>
      <c r="J239" s="269"/>
      <c r="K239" s="245"/>
      <c r="L239" s="281"/>
      <c r="M239" s="310" t="s">
        <v>599</v>
      </c>
      <c r="N239" s="308">
        <f>+N237/N238</f>
        <v>0.19908424285720983</v>
      </c>
      <c r="O239" s="245"/>
      <c r="Q239" s="278"/>
      <c r="R239" s="279" t="s">
        <v>134</v>
      </c>
      <c r="S239" s="278"/>
      <c r="T239" s="245"/>
      <c r="AA239" s="281"/>
      <c r="AB239" s="307" t="s">
        <v>599</v>
      </c>
      <c r="AC239" s="308">
        <f>+AC237/AC238</f>
        <v>0.09309847489806908</v>
      </c>
      <c r="AD239" s="245"/>
      <c r="BE239" s="297"/>
      <c r="BF239" s="298" t="s">
        <v>5</v>
      </c>
      <c r="BG239" s="299">
        <f>SUM(BG227:BG238)</f>
        <v>4.700528598034435</v>
      </c>
      <c r="BH239" s="300"/>
    </row>
    <row r="240" spans="2:60" x14ac:dyDescent="0.25">
      <c r="B240" s="281">
        <v>4541</v>
      </c>
      <c r="C240" s="282" t="s">
        <v>528</v>
      </c>
      <c r="D240" s="283">
        <f>insumos!$H$43</f>
        <v>0.022058823529411766</v>
      </c>
      <c r="E240" s="284"/>
      <c r="F240" s="285"/>
      <c r="G240" s="311"/>
      <c r="H240" s="307" t="s">
        <v>604</v>
      </c>
      <c r="I240" s="308">
        <f>I239*1.03</f>
        <v>0.2846736215413151</v>
      </c>
      <c r="J240" s="269"/>
      <c r="K240" s="245"/>
      <c r="L240" s="311"/>
      <c r="M240" s="310" t="s">
        <v>604</v>
      </c>
      <c r="N240" s="308">
        <f>N239*1.03</f>
        <v>0.20505677014292611</v>
      </c>
      <c r="O240" s="245"/>
      <c r="Q240" s="281">
        <v>6184</v>
      </c>
      <c r="R240" s="1" t="s">
        <v>502</v>
      </c>
      <c r="S240" s="283">
        <f>insumos!$H$215</f>
        <v>0.6</v>
      </c>
      <c r="T240" s="245"/>
      <c r="AA240" s="311"/>
      <c r="AB240" s="307" t="s">
        <v>604</v>
      </c>
      <c r="AC240" s="308">
        <f>AC239*1.03</f>
        <v>0.09589142914501116</v>
      </c>
      <c r="AD240" s="245"/>
      <c r="BE240" s="281"/>
      <c r="BF240" s="282" t="s">
        <v>587</v>
      </c>
      <c r="BG240" s="304">
        <f>1659.9/151</f>
        <v>10.99271523178808</v>
      </c>
      <c r="BH240" s="269"/>
    </row>
    <row r="241" spans="2:60" x14ac:dyDescent="0.25">
      <c r="B241" s="26">
        <v>3817</v>
      </c>
      <c r="C241" s="243" t="s">
        <v>524</v>
      </c>
      <c r="D241" s="289">
        <f>insumos!$I$103*1.8</f>
        <v>0.02088</v>
      </c>
      <c r="E241" s="290" t="s">
        <v>537</v>
      </c>
      <c r="F241" s="290"/>
      <c r="J241" s="269"/>
      <c r="K241" s="245"/>
      <c r="L241" s="245"/>
      <c r="M241" s="245"/>
      <c r="N241" s="245"/>
      <c r="O241" s="245"/>
      <c r="Q241" s="281">
        <v>2037</v>
      </c>
      <c r="R241" s="282" t="s">
        <v>511</v>
      </c>
      <c r="S241" s="283">
        <f>+insumos!$H$268</f>
        <v>0.65</v>
      </c>
      <c r="T241" s="245"/>
      <c r="BE241" s="281"/>
      <c r="BF241" s="307" t="s">
        <v>599</v>
      </c>
      <c r="BG241" s="308">
        <f>+BG239/BG240</f>
        <v>0.427603963071992</v>
      </c>
      <c r="BH241" s="269"/>
    </row>
    <row r="242" spans="2:60" x14ac:dyDescent="0.25">
      <c r="B242" s="26">
        <v>2173</v>
      </c>
      <c r="C242" s="243" t="s">
        <v>536</v>
      </c>
      <c r="D242" s="289">
        <f>+insumos!$H$149*2</f>
        <v>0.0349502662966019</v>
      </c>
      <c r="E242" s="291" t="s">
        <v>547</v>
      </c>
      <c r="F242" s="291"/>
      <c r="G242" s="263">
        <v>437860</v>
      </c>
      <c r="H242" s="264" t="s">
        <v>851</v>
      </c>
      <c r="I242" s="267"/>
      <c r="L242" s="263">
        <v>436416</v>
      </c>
      <c r="M242" s="264" t="s">
        <v>852</v>
      </c>
      <c r="N242" s="265">
        <v>536</v>
      </c>
      <c r="O242" s="266">
        <f>N242/E2</f>
        <v>13.313462493790363</v>
      </c>
      <c r="Q242" s="281">
        <v>4542</v>
      </c>
      <c r="R242" s="282" t="s">
        <v>527</v>
      </c>
      <c r="S242" s="283">
        <f>insumos!$I$35</f>
        <v>0.022058823529411763</v>
      </c>
      <c r="AA242" s="263">
        <v>991152</v>
      </c>
      <c r="AB242" s="264" t="s">
        <v>853</v>
      </c>
      <c r="AC242" s="267"/>
      <c r="AD242" s="245"/>
      <c r="BE242" s="311"/>
      <c r="BF242" s="307" t="s">
        <v>604</v>
      </c>
      <c r="BG242" s="308">
        <f>BG241*1.03</f>
        <v>0.4404320819641518</v>
      </c>
      <c r="BH242" s="269"/>
    </row>
    <row r="243" spans="2:30" x14ac:dyDescent="0.25">
      <c r="B243" s="281">
        <v>3636</v>
      </c>
      <c r="C243" s="282" t="s">
        <v>550</v>
      </c>
      <c r="D243" s="283">
        <f>+insumos!$H$121</f>
        <v>0.0445</v>
      </c>
      <c r="E243" s="284"/>
      <c r="F243" s="285"/>
      <c r="G243" s="275" t="s">
        <v>492</v>
      </c>
      <c r="H243" s="276" t="s">
        <v>495</v>
      </c>
      <c r="I243" s="275" t="s">
        <v>467</v>
      </c>
      <c r="J243" s="269"/>
      <c r="K243" s="245"/>
      <c r="L243" s="275" t="s">
        <v>492</v>
      </c>
      <c r="M243" s="277" t="s">
        <v>495</v>
      </c>
      <c r="N243" s="275" t="s">
        <v>467</v>
      </c>
      <c r="O243" s="245"/>
      <c r="Q243" s="26">
        <v>3817</v>
      </c>
      <c r="R243" s="243" t="s">
        <v>524</v>
      </c>
      <c r="S243" s="289">
        <f>insumos!$I$103*1.8</f>
        <v>0.02088</v>
      </c>
      <c r="T243" s="285" t="s">
        <v>538</v>
      </c>
      <c r="AA243" s="275" t="s">
        <v>492</v>
      </c>
      <c r="AB243" s="276" t="s">
        <v>495</v>
      </c>
      <c r="AC243" s="275" t="s">
        <v>467</v>
      </c>
      <c r="AD243" s="245"/>
    </row>
    <row r="244" spans="2:60" x14ac:dyDescent="0.25">
      <c r="B244" s="292"/>
      <c r="C244" s="279" t="s">
        <v>553</v>
      </c>
      <c r="D244" s="293"/>
      <c r="E244" s="284"/>
      <c r="F244" s="285"/>
      <c r="G244" s="278"/>
      <c r="H244" s="279" t="s">
        <v>134</v>
      </c>
      <c r="I244" s="278"/>
      <c r="J244" s="269"/>
      <c r="K244" s="245"/>
      <c r="L244" s="278"/>
      <c r="M244" s="280" t="s">
        <v>134</v>
      </c>
      <c r="N244" s="278"/>
      <c r="O244" s="245"/>
      <c r="Q244" s="26">
        <v>2173</v>
      </c>
      <c r="R244" s="243" t="s">
        <v>536</v>
      </c>
      <c r="S244" s="289">
        <f>+insumos!$H$149*2</f>
        <v>0.0349502662966019</v>
      </c>
      <c r="T244" s="1" t="s">
        <v>547</v>
      </c>
      <c r="AA244" s="278"/>
      <c r="AB244" s="279" t="s">
        <v>134</v>
      </c>
      <c r="AC244" s="278"/>
      <c r="AD244" s="245"/>
      <c r="BE244" s="263">
        <v>443443</v>
      </c>
      <c r="BF244" s="264" t="s">
        <v>854</v>
      </c>
      <c r="BG244" s="267"/>
      <c r="BH244" s="269"/>
    </row>
    <row r="245" spans="2:60" x14ac:dyDescent="0.25">
      <c r="B245" s="281">
        <v>6234</v>
      </c>
      <c r="C245" s="282" t="s">
        <v>573</v>
      </c>
      <c r="D245" s="283">
        <f>insumos!H155*12</f>
        <v>1.126906412005457</v>
      </c>
      <c r="E245" s="300" t="s">
        <v>568</v>
      </c>
      <c r="F245" s="291"/>
      <c r="G245" s="281">
        <v>5524</v>
      </c>
      <c r="H245" s="1" t="s">
        <v>501</v>
      </c>
      <c r="I245" s="283">
        <f>insumos!$H$217</f>
        <v>0.8950000000000001</v>
      </c>
      <c r="J245" s="269"/>
      <c r="K245" s="245"/>
      <c r="L245" s="281">
        <v>3741</v>
      </c>
      <c r="M245" s="282" t="s">
        <v>500</v>
      </c>
      <c r="N245" s="283">
        <f>insumos!$G$213</f>
        <v>0.8355871886120997</v>
      </c>
      <c r="O245" s="285"/>
      <c r="Q245" s="281">
        <v>3636</v>
      </c>
      <c r="R245" s="282" t="s">
        <v>550</v>
      </c>
      <c r="S245" s="283">
        <f>+insumos!$H$121</f>
        <v>0.0445</v>
      </c>
      <c r="T245" s="245"/>
      <c r="AA245" s="281">
        <v>6184</v>
      </c>
      <c r="AB245" s="1" t="s">
        <v>502</v>
      </c>
      <c r="AC245" s="283">
        <f>insumos!$H$215</f>
        <v>0.6</v>
      </c>
      <c r="AD245" s="245"/>
      <c r="BE245" s="275" t="s">
        <v>492</v>
      </c>
      <c r="BF245" s="276" t="s">
        <v>495</v>
      </c>
      <c r="BG245" s="275" t="s">
        <v>467</v>
      </c>
      <c r="BH245" s="269"/>
    </row>
    <row r="246" spans="2:60" x14ac:dyDescent="0.25">
      <c r="B246" s="281">
        <v>5202</v>
      </c>
      <c r="C246" s="282" t="s">
        <v>586</v>
      </c>
      <c r="D246" s="283">
        <f>insumos!$H$114*12</f>
        <v>0.3161371428571429</v>
      </c>
      <c r="E246" s="300" t="s">
        <v>568</v>
      </c>
      <c r="F246" s="291"/>
      <c r="G246" s="281">
        <v>5523</v>
      </c>
      <c r="H246" s="282" t="s">
        <v>508</v>
      </c>
      <c r="I246" s="283">
        <f>+insumos!$H$285</f>
        <v>1.1829611337771098</v>
      </c>
      <c r="J246" s="284"/>
      <c r="K246" s="285"/>
      <c r="L246" s="26" t="s">
        <v>509</v>
      </c>
      <c r="M246" s="30" t="s">
        <v>510</v>
      </c>
      <c r="N246" s="283">
        <f>+insumos!$H$267</f>
        <v>1.2</v>
      </c>
      <c r="O246" s="285"/>
      <c r="Q246" s="292"/>
      <c r="R246" s="279" t="s">
        <v>553</v>
      </c>
      <c r="S246" s="293"/>
      <c r="T246" s="245"/>
      <c r="AA246" s="281">
        <v>2037</v>
      </c>
      <c r="AB246" s="282" t="s">
        <v>511</v>
      </c>
      <c r="AC246" s="283">
        <f>+insumos!$H$268</f>
        <v>0.65</v>
      </c>
      <c r="AD246" s="245"/>
      <c r="BE246" s="278"/>
      <c r="BF246" s="279" t="s">
        <v>134</v>
      </c>
      <c r="BG246" s="278"/>
      <c r="BH246" s="269"/>
    </row>
    <row r="247" spans="2:60" x14ac:dyDescent="0.25">
      <c r="B247" s="281">
        <v>6229</v>
      </c>
      <c r="C247" s="30" t="s">
        <v>588</v>
      </c>
      <c r="D247" s="283">
        <f>insumos!$I$265*12</f>
        <v>0.25825519982429496</v>
      </c>
      <c r="E247" s="300" t="s">
        <v>568</v>
      </c>
      <c r="F247" s="291"/>
      <c r="G247" s="281">
        <v>4542</v>
      </c>
      <c r="H247" s="282" t="s">
        <v>527</v>
      </c>
      <c r="I247" s="283">
        <f>insumos!$I$35</f>
        <v>0.022058823529411763</v>
      </c>
      <c r="J247" s="284"/>
      <c r="K247" s="285"/>
      <c r="L247" s="281">
        <v>4541</v>
      </c>
      <c r="M247" s="282" t="s">
        <v>528</v>
      </c>
      <c r="N247" s="283">
        <f>insumos!$H$43</f>
        <v>0.022058823529411766</v>
      </c>
      <c r="O247" s="285"/>
      <c r="Q247" s="26"/>
      <c r="R247" s="1"/>
      <c r="S247" s="283"/>
      <c r="T247" s="1"/>
      <c r="AA247" s="281">
        <v>4542</v>
      </c>
      <c r="AB247" s="282" t="s">
        <v>527</v>
      </c>
      <c r="AC247" s="283">
        <f>insumos!$I$35</f>
        <v>0.022058823529411763</v>
      </c>
      <c r="AD247" s="287"/>
      <c r="BE247" s="281">
        <v>3741</v>
      </c>
      <c r="BF247" s="282" t="s">
        <v>500</v>
      </c>
      <c r="BG247" s="283">
        <f>insumos!$G$213</f>
        <v>0.8355871886120997</v>
      </c>
      <c r="BH247" s="284"/>
    </row>
    <row r="248" spans="2:60" x14ac:dyDescent="0.25">
      <c r="B248" s="281">
        <v>6254</v>
      </c>
      <c r="C248" s="30" t="s">
        <v>600</v>
      </c>
      <c r="D248" s="283">
        <f>+insumos!$I$208*12</f>
        <v>0.5334893983701396</v>
      </c>
      <c r="E248" s="300" t="s">
        <v>568</v>
      </c>
      <c r="F248" s="291"/>
      <c r="G248" s="26">
        <v>3817</v>
      </c>
      <c r="H248" s="243" t="s">
        <v>524</v>
      </c>
      <c r="I248" s="289">
        <f>insumos!$I$103*1.8</f>
        <v>0.02088</v>
      </c>
      <c r="J248" s="284"/>
      <c r="K248" s="285"/>
      <c r="L248" s="26">
        <v>3817</v>
      </c>
      <c r="M248" s="288" t="s">
        <v>524</v>
      </c>
      <c r="N248" s="289">
        <f>insumos!$I$103*1.8</f>
        <v>0.02088</v>
      </c>
      <c r="O248" s="290" t="s">
        <v>537</v>
      </c>
      <c r="Q248" s="297"/>
      <c r="R248" s="298" t="s">
        <v>5</v>
      </c>
      <c r="S248" s="299">
        <f>SUM(S240:S247)</f>
        <v>1.3723890898260136</v>
      </c>
      <c r="T248" s="245"/>
      <c r="AA248" s="26">
        <v>3817</v>
      </c>
      <c r="AB248" s="243" t="s">
        <v>524</v>
      </c>
      <c r="AC248" s="289">
        <f>insumos!$I$103*1.8</f>
        <v>0.02088</v>
      </c>
      <c r="AD248" s="285" t="s">
        <v>538</v>
      </c>
      <c r="BE248" s="26" t="s">
        <v>517</v>
      </c>
      <c r="BF248" s="30" t="s">
        <v>518</v>
      </c>
      <c r="BG248" s="283">
        <f>+insumos!$H$263</f>
        <v>1.6</v>
      </c>
      <c r="BH248" s="284"/>
    </row>
    <row r="249" spans="2:60" x14ac:dyDescent="0.25">
      <c r="B249" s="281">
        <v>5868</v>
      </c>
      <c r="C249" s="30" t="s">
        <v>605</v>
      </c>
      <c r="D249" s="283">
        <f>insumos!$I$243*12</f>
        <v>0.22752</v>
      </c>
      <c r="E249" s="300" t="s">
        <v>568</v>
      </c>
      <c r="F249" s="291"/>
      <c r="G249" s="26">
        <v>2173</v>
      </c>
      <c r="H249" s="243" t="s">
        <v>536</v>
      </c>
      <c r="I249" s="289">
        <f>+insumos!$H$149*2</f>
        <v>0.0349502662966019</v>
      </c>
      <c r="J249" s="290" t="s">
        <v>537</v>
      </c>
      <c r="K249" s="290"/>
      <c r="L249" s="26">
        <v>2173</v>
      </c>
      <c r="M249" s="288" t="s">
        <v>536</v>
      </c>
      <c r="N249" s="289">
        <f>+insumos!$H$149*2</f>
        <v>0.0349502662966019</v>
      </c>
      <c r="O249" s="291" t="s">
        <v>547</v>
      </c>
      <c r="Q249" s="281"/>
      <c r="R249" s="282" t="s">
        <v>587</v>
      </c>
      <c r="S249" s="304">
        <f>973.52/41</f>
        <v>23.744390243902437</v>
      </c>
      <c r="T249" s="245"/>
      <c r="AA249" s="26">
        <v>2173</v>
      </c>
      <c r="AB249" s="243" t="s">
        <v>536</v>
      </c>
      <c r="AC249" s="289">
        <f>+insumos!$H$149*2</f>
        <v>0.0349502662966019</v>
      </c>
      <c r="AD249" s="1" t="s">
        <v>547</v>
      </c>
      <c r="BE249" s="281">
        <v>4653</v>
      </c>
      <c r="BF249" s="282" t="s">
        <v>525</v>
      </c>
      <c r="BG249" s="283">
        <f>insumos!$H$254*3</f>
        <v>0.5592178831719787</v>
      </c>
      <c r="BH249" s="284" t="s">
        <v>526</v>
      </c>
    </row>
    <row r="250" spans="2:60" x14ac:dyDescent="0.25">
      <c r="B250" s="297"/>
      <c r="C250" s="298" t="s">
        <v>5</v>
      </c>
      <c r="D250" s="299">
        <f>SUM(D237:D249)</f>
        <v>4.928338014939061</v>
      </c>
      <c r="E250" s="269"/>
      <c r="F250" s="245"/>
      <c r="G250" s="281">
        <v>3636</v>
      </c>
      <c r="H250" s="282" t="s">
        <v>550</v>
      </c>
      <c r="I250" s="283">
        <f>+insumos!$H$121</f>
        <v>0.0445</v>
      </c>
      <c r="J250" s="291" t="s">
        <v>547</v>
      </c>
      <c r="K250" s="291"/>
      <c r="L250" s="281">
        <v>3636</v>
      </c>
      <c r="M250" s="286" t="s">
        <v>550</v>
      </c>
      <c r="N250" s="283">
        <f>+insumos!$H$121</f>
        <v>0.0445</v>
      </c>
      <c r="O250" s="285"/>
      <c r="Q250" s="281"/>
      <c r="R250" s="307" t="s">
        <v>599</v>
      </c>
      <c r="S250" s="308">
        <f>+S248/S249</f>
        <v>0.05779845579224521</v>
      </c>
      <c r="T250" s="245"/>
      <c r="AA250" s="281">
        <v>3636</v>
      </c>
      <c r="AB250" s="282" t="s">
        <v>550</v>
      </c>
      <c r="AC250" s="283">
        <f>+insumos!$H$121</f>
        <v>0.0445</v>
      </c>
      <c r="AD250" s="245"/>
      <c r="BE250" s="26" t="s">
        <v>541</v>
      </c>
      <c r="BF250" s="30" t="s">
        <v>542</v>
      </c>
      <c r="BG250" s="283">
        <f>insumos!$H$50</f>
        <v>0.027941176470588237</v>
      </c>
      <c r="BH250" s="284"/>
    </row>
    <row r="251" spans="2:60" x14ac:dyDescent="0.25">
      <c r="B251" s="281"/>
      <c r="C251" s="282" t="s">
        <v>587</v>
      </c>
      <c r="D251" s="281">
        <v>11.75</v>
      </c>
      <c r="E251" s="269"/>
      <c r="F251" s="245"/>
      <c r="G251" s="292"/>
      <c r="H251" s="279" t="s">
        <v>553</v>
      </c>
      <c r="I251" s="293"/>
      <c r="J251" s="284"/>
      <c r="K251" s="285"/>
      <c r="L251" s="292"/>
      <c r="M251" s="280" t="s">
        <v>553</v>
      </c>
      <c r="N251" s="293"/>
      <c r="O251" s="285"/>
      <c r="Q251" s="311"/>
      <c r="R251" s="307" t="s">
        <v>604</v>
      </c>
      <c r="S251" s="308">
        <f>S250*1.03</f>
        <v>0.05953240946601257</v>
      </c>
      <c r="AA251" s="292"/>
      <c r="AB251" s="279" t="s">
        <v>553</v>
      </c>
      <c r="AC251" s="293"/>
      <c r="AD251" s="245"/>
      <c r="BE251" s="26">
        <v>3817</v>
      </c>
      <c r="BF251" s="243" t="s">
        <v>524</v>
      </c>
      <c r="BG251" s="289">
        <f>insumos!$I$103*1.8</f>
        <v>0.02088</v>
      </c>
      <c r="BH251" s="290" t="s">
        <v>537</v>
      </c>
    </row>
    <row r="252" spans="2:60" x14ac:dyDescent="0.25">
      <c r="B252" s="281"/>
      <c r="C252" s="307" t="s">
        <v>599</v>
      </c>
      <c r="D252" s="308">
        <f>+D250/D251</f>
        <v>0.4194330225480052</v>
      </c>
      <c r="E252" s="269"/>
      <c r="F252" s="245"/>
      <c r="G252" s="26" t="s">
        <v>701</v>
      </c>
      <c r="H252" s="30" t="s">
        <v>702</v>
      </c>
      <c r="I252" s="283">
        <f>insumos!$H$88*2</f>
        <v>1.978</v>
      </c>
      <c r="J252" s="300" t="s">
        <v>532</v>
      </c>
      <c r="K252" s="285"/>
      <c r="L252" s="26" t="s">
        <v>569</v>
      </c>
      <c r="M252" s="1" t="s">
        <v>570</v>
      </c>
      <c r="N252" s="283">
        <f>insumos!$H$90*7</f>
        <v>2.1560000000000006</v>
      </c>
      <c r="O252" s="291" t="s">
        <v>661</v>
      </c>
      <c r="AA252" s="26"/>
      <c r="AB252" s="30"/>
      <c r="AC252" s="283"/>
      <c r="AD252" s="1"/>
      <c r="BE252" s="26">
        <v>2173</v>
      </c>
      <c r="BF252" s="243" t="s">
        <v>536</v>
      </c>
      <c r="BG252" s="289">
        <f>+insumos!$H$149*2</f>
        <v>0.0349502662966019</v>
      </c>
      <c r="BH252" s="291" t="s">
        <v>547</v>
      </c>
    </row>
    <row r="253" spans="2:60" x14ac:dyDescent="0.25">
      <c r="B253" s="311"/>
      <c r="C253" s="307" t="s">
        <v>604</v>
      </c>
      <c r="D253" s="308">
        <f>D252*1.03</f>
        <v>0.4320160132244453</v>
      </c>
      <c r="E253" s="269"/>
      <c r="F253" s="245"/>
      <c r="G253" s="26" t="s">
        <v>566</v>
      </c>
      <c r="H253" s="30" t="s">
        <v>567</v>
      </c>
      <c r="I253" s="283">
        <f>insumos!$H$113*2</f>
        <v>0.0540189077243429</v>
      </c>
      <c r="J253" s="300" t="s">
        <v>532</v>
      </c>
      <c r="K253" s="291"/>
      <c r="L253" s="26" t="s">
        <v>566</v>
      </c>
      <c r="M253" s="30" t="s">
        <v>567</v>
      </c>
      <c r="N253" s="283">
        <f>insumos!$H$113*7</f>
        <v>0.18906617703520015</v>
      </c>
      <c r="O253" s="291" t="s">
        <v>661</v>
      </c>
      <c r="Q253" s="263">
        <v>998160</v>
      </c>
      <c r="R253" s="264" t="s">
        <v>855</v>
      </c>
      <c r="S253" s="267"/>
      <c r="T253" s="245"/>
      <c r="AA253" s="26"/>
      <c r="AB253" s="30"/>
      <c r="AC253" s="283"/>
      <c r="AD253" s="1"/>
      <c r="BE253" s="281">
        <v>3636</v>
      </c>
      <c r="BF253" s="282" t="s">
        <v>550</v>
      </c>
      <c r="BG253" s="283">
        <f>+insumos!$H$121</f>
        <v>0.0445</v>
      </c>
      <c r="BH253" s="284"/>
    </row>
    <row r="254" spans="7:60" x14ac:dyDescent="0.25">
      <c r="G254" s="297"/>
      <c r="H254" s="298" t="s">
        <v>5</v>
      </c>
      <c r="I254" s="299">
        <f>SUM(I245:I253)</f>
        <v>4.2323691313274665</v>
      </c>
      <c r="J254" s="300"/>
      <c r="K254" s="291"/>
      <c r="L254" s="297"/>
      <c r="M254" s="303" t="s">
        <v>5</v>
      </c>
      <c r="N254" s="299">
        <f>SUM(N245:N253)</f>
        <v>4.503042455473314</v>
      </c>
      <c r="O254" s="245"/>
      <c r="Q254" s="275" t="s">
        <v>492</v>
      </c>
      <c r="R254" s="276" t="s">
        <v>495</v>
      </c>
      <c r="S254" s="275" t="s">
        <v>467</v>
      </c>
      <c r="T254" s="245"/>
      <c r="AA254" s="297"/>
      <c r="AB254" s="298" t="s">
        <v>5</v>
      </c>
      <c r="AC254" s="299">
        <f>SUM(AC245:AC253)</f>
        <v>1.3723890898260136</v>
      </c>
      <c r="AD254" s="245"/>
      <c r="BE254" s="292"/>
      <c r="BF254" s="279" t="s">
        <v>553</v>
      </c>
      <c r="BG254" s="293"/>
      <c r="BH254" s="284"/>
    </row>
    <row r="255" spans="2:60" x14ac:dyDescent="0.25">
      <c r="B255" s="263">
        <v>439130</v>
      </c>
      <c r="C255" s="264" t="s">
        <v>856</v>
      </c>
      <c r="D255" s="267">
        <v>1040</v>
      </c>
      <c r="E255" s="272">
        <f>D255/E2</f>
        <v>25.8320914058619</v>
      </c>
      <c r="F255" s="245"/>
      <c r="G255" s="281"/>
      <c r="H255" s="282" t="s">
        <v>587</v>
      </c>
      <c r="I255" s="304">
        <f>1487.64/88</f>
        <v>16.905</v>
      </c>
      <c r="J255" s="269"/>
      <c r="K255" s="245"/>
      <c r="L255" s="281"/>
      <c r="M255" s="286" t="s">
        <v>587</v>
      </c>
      <c r="N255" s="304">
        <f>46769.64/3637</f>
        <v>12.859400604894143</v>
      </c>
      <c r="O255" s="266"/>
      <c r="Q255" s="278"/>
      <c r="R255" s="279" t="s">
        <v>134</v>
      </c>
      <c r="S255" s="278"/>
      <c r="T255" s="245"/>
      <c r="AA255" s="281"/>
      <c r="AB255" s="282" t="s">
        <v>587</v>
      </c>
      <c r="AC255" s="304">
        <f>21217.95/1159</f>
        <v>18.30711820534944</v>
      </c>
      <c r="AD255" s="245"/>
      <c r="BE255" s="26" t="s">
        <v>566</v>
      </c>
      <c r="BF255" s="30" t="s">
        <v>567</v>
      </c>
      <c r="BG255" s="283">
        <f>insumos!$H$113*16</f>
        <v>0.4321512617947432</v>
      </c>
      <c r="BH255" s="300" t="s">
        <v>580</v>
      </c>
    </row>
    <row r="256" spans="2:60" x14ac:dyDescent="0.25">
      <c r="B256" s="275" t="s">
        <v>492</v>
      </c>
      <c r="C256" s="276" t="s">
        <v>495</v>
      </c>
      <c r="D256" s="275" t="s">
        <v>467</v>
      </c>
      <c r="E256" s="269"/>
      <c r="F256" s="245"/>
      <c r="G256" s="281"/>
      <c r="H256" s="307" t="s">
        <v>599</v>
      </c>
      <c r="I256" s="308">
        <f>+I254/I255</f>
        <v>0.25036197168455876</v>
      </c>
      <c r="J256" s="269"/>
      <c r="K256" s="245"/>
      <c r="L256" s="281"/>
      <c r="M256" s="310" t="s">
        <v>599</v>
      </c>
      <c r="N256" s="308">
        <f>+N254/N255</f>
        <v>0.350175143758995</v>
      </c>
      <c r="O256" s="245"/>
      <c r="Q256" s="281">
        <v>6184</v>
      </c>
      <c r="R256" s="1" t="s">
        <v>502</v>
      </c>
      <c r="S256" s="283">
        <f>insumos!$H$215</f>
        <v>0.6</v>
      </c>
      <c r="T256" s="245"/>
      <c r="AA256" s="281"/>
      <c r="AB256" s="307" t="s">
        <v>599</v>
      </c>
      <c r="AC256" s="308">
        <f>+AC254/AC255</f>
        <v>0.07496478006161526</v>
      </c>
      <c r="AD256" s="245"/>
      <c r="BE256" s="281">
        <v>6229</v>
      </c>
      <c r="BF256" s="30" t="s">
        <v>588</v>
      </c>
      <c r="BG256" s="283">
        <f>insumos!$I$265*16</f>
        <v>0.3443402664323933</v>
      </c>
      <c r="BH256" s="300" t="s">
        <v>580</v>
      </c>
    </row>
    <row r="257" spans="2:60" x14ac:dyDescent="0.25">
      <c r="B257" s="278"/>
      <c r="C257" s="279" t="s">
        <v>134</v>
      </c>
      <c r="D257" s="278"/>
      <c r="E257" s="269"/>
      <c r="F257" s="245"/>
      <c r="G257" s="311"/>
      <c r="H257" s="307" t="s">
        <v>604</v>
      </c>
      <c r="I257" s="308">
        <f>I256*1.03</f>
        <v>0.25787283083509555</v>
      </c>
      <c r="J257" s="269"/>
      <c r="K257" s="245"/>
      <c r="L257" s="311"/>
      <c r="M257" s="310" t="s">
        <v>604</v>
      </c>
      <c r="N257" s="308">
        <f>N256*1.03</f>
        <v>0.3606803980717649</v>
      </c>
      <c r="O257" s="245"/>
      <c r="Q257" s="281">
        <v>2037</v>
      </c>
      <c r="R257" s="282" t="s">
        <v>511</v>
      </c>
      <c r="S257" s="283">
        <f>+insumos!$H$268</f>
        <v>0.65</v>
      </c>
      <c r="T257" s="245"/>
      <c r="AA257" s="311"/>
      <c r="AB257" s="307" t="s">
        <v>604</v>
      </c>
      <c r="AC257" s="308">
        <f>AC256*1.03</f>
        <v>0.07721372346346372</v>
      </c>
      <c r="AD257" s="245"/>
      <c r="BE257" s="281">
        <v>6254</v>
      </c>
      <c r="BF257" s="30" t="s">
        <v>600</v>
      </c>
      <c r="BG257" s="283">
        <f>+insumos!$I$208*16</f>
        <v>0.7113191978268528</v>
      </c>
      <c r="BH257" s="300" t="s">
        <v>580</v>
      </c>
    </row>
    <row r="258" spans="2:60" x14ac:dyDescent="0.25">
      <c r="B258" s="281">
        <v>3741</v>
      </c>
      <c r="C258" s="282" t="s">
        <v>500</v>
      </c>
      <c r="D258" s="283">
        <f>insumos!$G$213</f>
        <v>0.8355871886120997</v>
      </c>
      <c r="E258" s="284"/>
      <c r="F258" s="285"/>
      <c r="J258" s="269"/>
      <c r="K258" s="245"/>
      <c r="L258" s="245"/>
      <c r="M258" s="245"/>
      <c r="N258" s="245"/>
      <c r="O258" s="245"/>
      <c r="Q258" s="281">
        <v>4542</v>
      </c>
      <c r="R258" s="282" t="s">
        <v>527</v>
      </c>
      <c r="S258" s="283">
        <f>insumos!$I$35</f>
        <v>0.022058823529411763</v>
      </c>
      <c r="BE258" s="26" t="s">
        <v>608</v>
      </c>
      <c r="BF258" s="30" t="s">
        <v>609</v>
      </c>
      <c r="BG258" s="283">
        <f>insumos!$H$176*16</f>
        <v>0.864</v>
      </c>
      <c r="BH258" s="300" t="s">
        <v>580</v>
      </c>
    </row>
    <row r="259" spans="2:60" x14ac:dyDescent="0.25">
      <c r="B259" s="281">
        <v>3759</v>
      </c>
      <c r="C259" s="1" t="s">
        <v>507</v>
      </c>
      <c r="D259" s="283">
        <f>+insumos!$G$284</f>
        <v>1.1352416613292604</v>
      </c>
      <c r="E259" s="284"/>
      <c r="F259" s="285"/>
      <c r="G259" s="263">
        <v>437960</v>
      </c>
      <c r="H259" s="264" t="s">
        <v>857</v>
      </c>
      <c r="I259" s="267"/>
      <c r="L259" s="263">
        <v>436438</v>
      </c>
      <c r="M259" s="264" t="s">
        <v>858</v>
      </c>
      <c r="N259" s="265">
        <v>690</v>
      </c>
      <c r="O259" s="266">
        <f>N259/E2</f>
        <v>17.138599105812222</v>
      </c>
      <c r="Q259" s="26">
        <v>3817</v>
      </c>
      <c r="R259" s="243" t="s">
        <v>524</v>
      </c>
      <c r="S259" s="289">
        <f>insumos!$I$103*1.8</f>
        <v>0.02088</v>
      </c>
      <c r="T259" s="285" t="s">
        <v>538</v>
      </c>
      <c r="AA259" s="263">
        <v>991190</v>
      </c>
      <c r="AB259" s="264" t="s">
        <v>859</v>
      </c>
      <c r="AC259" s="267"/>
      <c r="AD259" s="245"/>
      <c r="BE259" s="297"/>
      <c r="BF259" s="298" t="s">
        <v>5</v>
      </c>
      <c r="BG259" s="299">
        <f>SUM(BG247:BG258)</f>
        <v>5.474887240605258</v>
      </c>
      <c r="BH259" s="300"/>
    </row>
    <row r="260" spans="2:60" x14ac:dyDescent="0.25">
      <c r="B260" s="281">
        <v>4653</v>
      </c>
      <c r="C260" s="282" t="s">
        <v>525</v>
      </c>
      <c r="D260" s="283">
        <f>insumos!$H$254</f>
        <v>0.18640596105732624</v>
      </c>
      <c r="E260" s="284"/>
      <c r="F260" s="285"/>
      <c r="G260" s="275" t="s">
        <v>492</v>
      </c>
      <c r="H260" s="276" t="s">
        <v>495</v>
      </c>
      <c r="I260" s="275" t="s">
        <v>467</v>
      </c>
      <c r="J260" s="269"/>
      <c r="K260" s="245"/>
      <c r="L260" s="275" t="s">
        <v>492</v>
      </c>
      <c r="M260" s="277" t="s">
        <v>495</v>
      </c>
      <c r="N260" s="275" t="s">
        <v>467</v>
      </c>
      <c r="O260" s="245"/>
      <c r="Q260" s="26">
        <v>2173</v>
      </c>
      <c r="R260" s="243" t="s">
        <v>536</v>
      </c>
      <c r="S260" s="289">
        <f>+insumos!$H$149*2</f>
        <v>0.0349502662966019</v>
      </c>
      <c r="T260" s="1" t="s">
        <v>547</v>
      </c>
      <c r="AA260" s="275" t="s">
        <v>492</v>
      </c>
      <c r="AB260" s="276" t="s">
        <v>495</v>
      </c>
      <c r="AC260" s="275" t="s">
        <v>467</v>
      </c>
      <c r="AD260" s="245"/>
      <c r="BE260" s="281"/>
      <c r="BF260" s="282" t="s">
        <v>587</v>
      </c>
      <c r="BG260" s="304">
        <v>10.41</v>
      </c>
      <c r="BH260" s="269"/>
    </row>
    <row r="261" spans="2:60" x14ac:dyDescent="0.25">
      <c r="B261" s="281">
        <v>4541</v>
      </c>
      <c r="C261" s="282" t="s">
        <v>528</v>
      </c>
      <c r="D261" s="283">
        <f>insumos!$H$43</f>
        <v>0.022058823529411766</v>
      </c>
      <c r="E261" s="284"/>
      <c r="F261" s="285"/>
      <c r="G261" s="278"/>
      <c r="H261" s="279" t="s">
        <v>134</v>
      </c>
      <c r="I261" s="278"/>
      <c r="J261" s="269"/>
      <c r="K261" s="245"/>
      <c r="L261" s="278"/>
      <c r="M261" s="280" t="s">
        <v>134</v>
      </c>
      <c r="N261" s="278"/>
      <c r="O261" s="245"/>
      <c r="Q261" s="281">
        <v>3636</v>
      </c>
      <c r="R261" s="282" t="s">
        <v>550</v>
      </c>
      <c r="S261" s="283">
        <f>+insumos!$H$121</f>
        <v>0.0445</v>
      </c>
      <c r="T261" s="245"/>
      <c r="AA261" s="278"/>
      <c r="AB261" s="279" t="s">
        <v>134</v>
      </c>
      <c r="AC261" s="278"/>
      <c r="AD261" s="245"/>
      <c r="BE261" s="281"/>
      <c r="BF261" s="307" t="s">
        <v>599</v>
      </c>
      <c r="BG261" s="308">
        <f>+BG259/BG260</f>
        <v>0.5259257675893619</v>
      </c>
      <c r="BH261" s="269"/>
    </row>
    <row r="262" spans="2:60" x14ac:dyDescent="0.25">
      <c r="B262" s="26">
        <v>3817</v>
      </c>
      <c r="C262" s="243" t="s">
        <v>524</v>
      </c>
      <c r="D262" s="289">
        <f>insumos!$I$103*1.8</f>
        <v>0.02088</v>
      </c>
      <c r="E262" s="290" t="s">
        <v>537</v>
      </c>
      <c r="F262" s="290"/>
      <c r="G262" s="281">
        <v>5524</v>
      </c>
      <c r="H262" s="1" t="s">
        <v>501</v>
      </c>
      <c r="I262" s="283">
        <f>insumos!$H$217</f>
        <v>0.8950000000000001</v>
      </c>
      <c r="J262" s="269"/>
      <c r="K262" s="245"/>
      <c r="L262" s="281">
        <v>5524</v>
      </c>
      <c r="M262" s="1" t="s">
        <v>501</v>
      </c>
      <c r="N262" s="283">
        <f>insumos!$H$217</f>
        <v>0.8950000000000001</v>
      </c>
      <c r="O262" s="285"/>
      <c r="Q262" s="292"/>
      <c r="R262" s="279" t="s">
        <v>553</v>
      </c>
      <c r="S262" s="293"/>
      <c r="T262" s="245"/>
      <c r="AA262" s="281">
        <v>6184</v>
      </c>
      <c r="AB262" s="1" t="s">
        <v>502</v>
      </c>
      <c r="AC262" s="283">
        <f>insumos!$H$215</f>
        <v>0.6</v>
      </c>
      <c r="AD262" s="245"/>
      <c r="BE262" s="311"/>
      <c r="BF262" s="307" t="s">
        <v>604</v>
      </c>
      <c r="BG262" s="308">
        <f>BG261*1.03</f>
        <v>0.5417035406170428</v>
      </c>
      <c r="BH262" s="269"/>
    </row>
    <row r="263" spans="2:30" x14ac:dyDescent="0.25">
      <c r="B263" s="26">
        <v>2173</v>
      </c>
      <c r="C263" s="243" t="s">
        <v>536</v>
      </c>
      <c r="D263" s="289">
        <f>+insumos!$H$149*2</f>
        <v>0.0349502662966019</v>
      </c>
      <c r="E263" s="291" t="s">
        <v>547</v>
      </c>
      <c r="F263" s="291"/>
      <c r="G263" s="281">
        <v>5523</v>
      </c>
      <c r="H263" s="282" t="s">
        <v>508</v>
      </c>
      <c r="I263" s="283">
        <f>+insumos!$H$285</f>
        <v>1.1829611337771098</v>
      </c>
      <c r="J263" s="284"/>
      <c r="K263" s="285"/>
      <c r="L263" s="26" t="s">
        <v>513</v>
      </c>
      <c r="M263" s="30" t="s">
        <v>514</v>
      </c>
      <c r="N263" s="283">
        <f>+insumos!$H$266</f>
        <v>1.1500000000000001</v>
      </c>
      <c r="O263" s="285"/>
      <c r="Q263" s="26" t="s">
        <v>653</v>
      </c>
      <c r="R263" s="30" t="s">
        <v>654</v>
      </c>
      <c r="S263" s="283">
        <f>insumos!$H$224*5</f>
        <v>0.5</v>
      </c>
      <c r="T263" s="1" t="s">
        <v>652</v>
      </c>
      <c r="AA263" s="281">
        <v>2037</v>
      </c>
      <c r="AB263" s="282" t="s">
        <v>511</v>
      </c>
      <c r="AC263" s="283">
        <f>+insumos!$H$268</f>
        <v>0.65</v>
      </c>
      <c r="AD263" s="245"/>
    </row>
    <row r="264" spans="2:60" x14ac:dyDescent="0.25">
      <c r="B264" s="281">
        <v>3636</v>
      </c>
      <c r="C264" s="282" t="s">
        <v>550</v>
      </c>
      <c r="D264" s="283">
        <f>+insumos!$H$121</f>
        <v>0.0445</v>
      </c>
      <c r="E264" s="284"/>
      <c r="F264" s="285"/>
      <c r="G264" s="281">
        <v>4542</v>
      </c>
      <c r="H264" s="282" t="s">
        <v>527</v>
      </c>
      <c r="I264" s="283">
        <f>insumos!$I$35</f>
        <v>0.022058823529411763</v>
      </c>
      <c r="J264" s="284"/>
      <c r="K264" s="285"/>
      <c r="L264" s="281">
        <v>4542</v>
      </c>
      <c r="M264" s="286" t="s">
        <v>527</v>
      </c>
      <c r="N264" s="283">
        <f>insumos!$I$35</f>
        <v>0.022058823529411763</v>
      </c>
      <c r="O264" s="285"/>
      <c r="Q264" s="297"/>
      <c r="R264" s="298" t="s">
        <v>5</v>
      </c>
      <c r="S264" s="299">
        <f>SUM(S256:S263)</f>
        <v>1.8723890898260136</v>
      </c>
      <c r="T264" s="245"/>
      <c r="AA264" s="26" t="s">
        <v>533</v>
      </c>
      <c r="AB264" s="30" t="s">
        <v>534</v>
      </c>
      <c r="AC264" s="283">
        <f>insumos!$I$33</f>
        <v>0.049999554426770045</v>
      </c>
      <c r="AD264" s="287"/>
      <c r="BE264" s="263">
        <v>443414</v>
      </c>
      <c r="BF264" s="264" t="s">
        <v>860</v>
      </c>
      <c r="BG264" s="267"/>
      <c r="BH264" s="269"/>
    </row>
    <row r="265" spans="2:60" x14ac:dyDescent="0.25">
      <c r="B265" s="292"/>
      <c r="C265" s="279" t="s">
        <v>553</v>
      </c>
      <c r="D265" s="293"/>
      <c r="E265" s="284"/>
      <c r="F265" s="285"/>
      <c r="G265" s="26">
        <v>3817</v>
      </c>
      <c r="H265" s="243" t="s">
        <v>524</v>
      </c>
      <c r="I265" s="289">
        <f>insumos!$I$103*1.8</f>
        <v>0.02088</v>
      </c>
      <c r="J265" s="284"/>
      <c r="K265" s="285"/>
      <c r="L265" s="26">
        <v>3817</v>
      </c>
      <c r="M265" s="288" t="s">
        <v>524</v>
      </c>
      <c r="N265" s="289">
        <f>insumos!$I$103*1.8</f>
        <v>0.02088</v>
      </c>
      <c r="O265" s="290" t="s">
        <v>537</v>
      </c>
      <c r="Q265" s="281"/>
      <c r="R265" s="282" t="s">
        <v>587</v>
      </c>
      <c r="S265" s="304">
        <f>58416.34/3472</f>
        <v>16.82498271889401</v>
      </c>
      <c r="T265" s="245"/>
      <c r="AA265" s="26">
        <v>3817</v>
      </c>
      <c r="AB265" s="243" t="s">
        <v>524</v>
      </c>
      <c r="AC265" s="289">
        <f>insumos!$I$103*1.8</f>
        <v>0.02088</v>
      </c>
      <c r="AD265" s="285" t="s">
        <v>538</v>
      </c>
      <c r="BE265" s="275" t="s">
        <v>492</v>
      </c>
      <c r="BF265" s="276" t="s">
        <v>495</v>
      </c>
      <c r="BG265" s="275" t="s">
        <v>467</v>
      </c>
      <c r="BH265" s="269"/>
    </row>
    <row r="266" spans="2:60" x14ac:dyDescent="0.25">
      <c r="B266" s="281">
        <v>6275</v>
      </c>
      <c r="C266" s="282" t="s">
        <v>573</v>
      </c>
      <c r="D266" s="283">
        <f>insumos!H164*8</f>
        <v>0.7839999999999999</v>
      </c>
      <c r="E266" s="300" t="s">
        <v>561</v>
      </c>
      <c r="F266" s="291"/>
      <c r="G266" s="26">
        <v>2173</v>
      </c>
      <c r="H266" s="243" t="s">
        <v>536</v>
      </c>
      <c r="I266" s="289">
        <f>+insumos!$H$149*2</f>
        <v>0.0349502662966019</v>
      </c>
      <c r="J266" s="290" t="s">
        <v>537</v>
      </c>
      <c r="K266" s="290"/>
      <c r="L266" s="26">
        <v>2173</v>
      </c>
      <c r="M266" s="288" t="s">
        <v>536</v>
      </c>
      <c r="N266" s="289">
        <f>+insumos!$H$149*2</f>
        <v>0.0349502662966019</v>
      </c>
      <c r="O266" s="291" t="s">
        <v>547</v>
      </c>
      <c r="Q266" s="281"/>
      <c r="R266" s="307" t="s">
        <v>599</v>
      </c>
      <c r="S266" s="308">
        <f>+S264/S265</f>
        <v>0.1112862414844189</v>
      </c>
      <c r="T266" s="245"/>
      <c r="AA266" s="26">
        <v>2173</v>
      </c>
      <c r="AB266" s="243" t="s">
        <v>536</v>
      </c>
      <c r="AC266" s="289">
        <f>+insumos!$H$149*2</f>
        <v>0.0349502662966019</v>
      </c>
      <c r="AD266" s="1" t="s">
        <v>547</v>
      </c>
      <c r="BE266" s="278"/>
      <c r="BF266" s="279" t="s">
        <v>134</v>
      </c>
      <c r="BG266" s="278"/>
      <c r="BH266" s="269"/>
    </row>
    <row r="267" spans="2:60" x14ac:dyDescent="0.25">
      <c r="B267" s="281">
        <v>5202</v>
      </c>
      <c r="C267" s="282" t="s">
        <v>586</v>
      </c>
      <c r="D267" s="283">
        <f>insumos!$H$114*8</f>
        <v>0.21075809523809524</v>
      </c>
      <c r="E267" s="300" t="s">
        <v>561</v>
      </c>
      <c r="F267" s="291"/>
      <c r="G267" s="281">
        <v>3636</v>
      </c>
      <c r="H267" s="282" t="s">
        <v>550</v>
      </c>
      <c r="I267" s="283">
        <f>+insumos!$H$121</f>
        <v>0.0445</v>
      </c>
      <c r="J267" s="291" t="s">
        <v>547</v>
      </c>
      <c r="K267" s="291"/>
      <c r="L267" s="281">
        <v>3636</v>
      </c>
      <c r="M267" s="286" t="s">
        <v>550</v>
      </c>
      <c r="N267" s="283">
        <f>+insumos!$H$121</f>
        <v>0.0445</v>
      </c>
      <c r="O267" s="285"/>
      <c r="Q267" s="311"/>
      <c r="R267" s="307" t="s">
        <v>604</v>
      </c>
      <c r="S267" s="308">
        <f>S266*1.03</f>
        <v>0.11462482872895147</v>
      </c>
      <c r="AA267" s="281">
        <v>3636</v>
      </c>
      <c r="AB267" s="282" t="s">
        <v>550</v>
      </c>
      <c r="AC267" s="283">
        <f>+insumos!$H$121</f>
        <v>0.0445</v>
      </c>
      <c r="AD267" s="245"/>
      <c r="BE267" s="281">
        <v>3741</v>
      </c>
      <c r="BF267" s="282" t="s">
        <v>500</v>
      </c>
      <c r="BG267" s="283">
        <f>insumos!$G$213</f>
        <v>0.8355871886120997</v>
      </c>
      <c r="BH267" s="284"/>
    </row>
    <row r="268" spans="2:60" x14ac:dyDescent="0.25">
      <c r="B268" s="281">
        <v>6229</v>
      </c>
      <c r="C268" s="30" t="s">
        <v>588</v>
      </c>
      <c r="D268" s="283">
        <f>insumos!$I$265*8</f>
        <v>0.17217013321619665</v>
      </c>
      <c r="E268" s="300" t="s">
        <v>561</v>
      </c>
      <c r="F268" s="291"/>
      <c r="G268" s="292"/>
      <c r="H268" s="279" t="s">
        <v>553</v>
      </c>
      <c r="I268" s="293"/>
      <c r="J268" s="284"/>
      <c r="K268" s="285"/>
      <c r="L268" s="292"/>
      <c r="M268" s="280" t="s">
        <v>553</v>
      </c>
      <c r="N268" s="293"/>
      <c r="O268" s="285"/>
      <c r="AA268" s="292"/>
      <c r="AB268" s="279" t="s">
        <v>553</v>
      </c>
      <c r="AC268" s="293"/>
      <c r="AD268" s="245"/>
      <c r="BE268" s="26" t="s">
        <v>517</v>
      </c>
      <c r="BF268" s="30" t="s">
        <v>518</v>
      </c>
      <c r="BG268" s="283">
        <f>+insumos!$H$263</f>
        <v>1.6</v>
      </c>
      <c r="BH268" s="284"/>
    </row>
    <row r="269" spans="2:60" x14ac:dyDescent="0.25">
      <c r="B269" s="281">
        <v>6254</v>
      </c>
      <c r="C269" s="30" t="s">
        <v>600</v>
      </c>
      <c r="D269" s="283">
        <f>+insumos!$I$208*8</f>
        <v>0.3556595989134264</v>
      </c>
      <c r="E269" s="300" t="s">
        <v>561</v>
      </c>
      <c r="F269" s="291"/>
      <c r="G269" s="26" t="s">
        <v>701</v>
      </c>
      <c r="H269" s="30" t="s">
        <v>702</v>
      </c>
      <c r="I269" s="283">
        <f>insumos!$H$88*2</f>
        <v>1.978</v>
      </c>
      <c r="J269" s="300" t="s">
        <v>532</v>
      </c>
      <c r="K269" s="285"/>
      <c r="L269" s="319"/>
      <c r="M269" s="320" t="s">
        <v>848</v>
      </c>
      <c r="N269" s="321"/>
      <c r="O269" s="291"/>
      <c r="Q269" s="263">
        <v>998560</v>
      </c>
      <c r="R269" s="264" t="s">
        <v>861</v>
      </c>
      <c r="S269" s="267"/>
      <c r="T269" s="245"/>
      <c r="AA269" s="26"/>
      <c r="AB269" s="30"/>
      <c r="AC269" s="283"/>
      <c r="AD269" s="1"/>
      <c r="BE269" s="281">
        <v>4653</v>
      </c>
      <c r="BF269" s="282" t="s">
        <v>525</v>
      </c>
      <c r="BG269" s="283">
        <f>insumos!$H$254*3</f>
        <v>0.5592178831719787</v>
      </c>
      <c r="BH269" s="284" t="s">
        <v>526</v>
      </c>
    </row>
    <row r="270" spans="2:60" x14ac:dyDescent="0.25">
      <c r="B270" s="281">
        <v>5868</v>
      </c>
      <c r="C270" s="30" t="s">
        <v>605</v>
      </c>
      <c r="D270" s="283">
        <f>insumos!$I$243*8</f>
        <v>0.15168</v>
      </c>
      <c r="E270" s="300" t="s">
        <v>561</v>
      </c>
      <c r="F270" s="291"/>
      <c r="G270" s="26" t="s">
        <v>566</v>
      </c>
      <c r="H270" s="30" t="s">
        <v>567</v>
      </c>
      <c r="I270" s="283">
        <f>insumos!$H$113*2</f>
        <v>0.0540189077243429</v>
      </c>
      <c r="J270" s="300" t="s">
        <v>532</v>
      </c>
      <c r="K270" s="291"/>
      <c r="L270" s="26" t="s">
        <v>566</v>
      </c>
      <c r="M270" s="30" t="s">
        <v>567</v>
      </c>
      <c r="N270" s="283">
        <f>insumos!$H$113*18</f>
        <v>0.48617016951908615</v>
      </c>
      <c r="O270" s="291" t="s">
        <v>812</v>
      </c>
      <c r="Q270" s="275" t="s">
        <v>492</v>
      </c>
      <c r="R270" s="276" t="s">
        <v>495</v>
      </c>
      <c r="S270" s="275" t="s">
        <v>467</v>
      </c>
      <c r="T270" s="245"/>
      <c r="AA270" s="26"/>
      <c r="AB270" s="30"/>
      <c r="AC270" s="283"/>
      <c r="AD270" s="1"/>
      <c r="BE270" s="26" t="s">
        <v>541</v>
      </c>
      <c r="BF270" s="30" t="s">
        <v>542</v>
      </c>
      <c r="BG270" s="283">
        <f>insumos!$H$50</f>
        <v>0.027941176470588237</v>
      </c>
      <c r="BH270" s="284"/>
    </row>
    <row r="271" spans="2:60" x14ac:dyDescent="0.25">
      <c r="B271" s="297"/>
      <c r="C271" s="298" t="s">
        <v>5</v>
      </c>
      <c r="D271" s="299">
        <f>SUM(D258:D270)</f>
        <v>3.9538917281924184</v>
      </c>
      <c r="E271" s="269"/>
      <c r="F271" s="245"/>
      <c r="G271" s="297"/>
      <c r="H271" s="298" t="s">
        <v>5</v>
      </c>
      <c r="I271" s="299">
        <f>SUM(I262:I270)</f>
        <v>4.2323691313274665</v>
      </c>
      <c r="J271" s="300"/>
      <c r="K271" s="291"/>
      <c r="L271" s="297"/>
      <c r="M271" s="303" t="s">
        <v>5</v>
      </c>
      <c r="N271" s="299">
        <f>SUM(N262:N270)</f>
        <v>2.6535592593451005</v>
      </c>
      <c r="O271" s="245"/>
      <c r="Q271" s="278"/>
      <c r="R271" s="279" t="s">
        <v>134</v>
      </c>
      <c r="S271" s="278"/>
      <c r="T271" s="245"/>
      <c r="AA271" s="297"/>
      <c r="AB271" s="298" t="s">
        <v>5</v>
      </c>
      <c r="AC271" s="299">
        <f>SUM(AC262:AC270)</f>
        <v>1.4003298207233719</v>
      </c>
      <c r="AD271" s="245"/>
      <c r="BE271" s="26">
        <v>3817</v>
      </c>
      <c r="BF271" s="243" t="s">
        <v>524</v>
      </c>
      <c r="BG271" s="289">
        <f>insumos!$I$103*1.8</f>
        <v>0.02088</v>
      </c>
      <c r="BH271" s="290" t="s">
        <v>537</v>
      </c>
    </row>
    <row r="272" spans="2:60" x14ac:dyDescent="0.25">
      <c r="B272" s="281"/>
      <c r="C272" s="282" t="s">
        <v>587</v>
      </c>
      <c r="D272" s="281">
        <v>10</v>
      </c>
      <c r="E272" s="269"/>
      <c r="F272" s="245"/>
      <c r="G272" s="281"/>
      <c r="H272" s="282" t="s">
        <v>587</v>
      </c>
      <c r="I272" s="304">
        <f>1007.63/59</f>
        <v>17.078474576271187</v>
      </c>
      <c r="J272" s="269"/>
      <c r="K272" s="245"/>
      <c r="L272" s="281"/>
      <c r="M272" s="286" t="s">
        <v>587</v>
      </c>
      <c r="N272" s="304">
        <f>9200.83/719</f>
        <v>12.796703755215576</v>
      </c>
      <c r="O272" s="245"/>
      <c r="Q272" s="281">
        <v>6184</v>
      </c>
      <c r="R272" s="1" t="s">
        <v>502</v>
      </c>
      <c r="S272" s="283">
        <f>insumos!$H$215</f>
        <v>0.6</v>
      </c>
      <c r="T272" s="245"/>
      <c r="AA272" s="281"/>
      <c r="AB272" s="282" t="s">
        <v>587</v>
      </c>
      <c r="AC272" s="304">
        <f>54400/2720</f>
        <v>20</v>
      </c>
      <c r="AD272" s="245"/>
      <c r="BE272" s="26">
        <v>2173</v>
      </c>
      <c r="BF272" s="243" t="s">
        <v>536</v>
      </c>
      <c r="BG272" s="289">
        <f>+insumos!$H$149*2</f>
        <v>0.0349502662966019</v>
      </c>
      <c r="BH272" s="291" t="s">
        <v>547</v>
      </c>
    </row>
    <row r="273" spans="2:60" x14ac:dyDescent="0.25">
      <c r="B273" s="281"/>
      <c r="C273" s="307" t="s">
        <v>599</v>
      </c>
      <c r="D273" s="308">
        <f>+D271/D272</f>
        <v>0.39538917281924185</v>
      </c>
      <c r="E273" s="269"/>
      <c r="F273" s="245"/>
      <c r="G273" s="281"/>
      <c r="H273" s="307" t="s">
        <v>599</v>
      </c>
      <c r="I273" s="308">
        <f>+I271/I272</f>
        <v>0.24781892038577705</v>
      </c>
      <c r="J273" s="269"/>
      <c r="K273" s="245"/>
      <c r="L273" s="281"/>
      <c r="M273" s="310" t="s">
        <v>599</v>
      </c>
      <c r="N273" s="308">
        <f>+N271/N272</f>
        <v>0.2073627170015235</v>
      </c>
      <c r="O273" s="245"/>
      <c r="Q273" s="281">
        <v>2037</v>
      </c>
      <c r="R273" s="282" t="s">
        <v>511</v>
      </c>
      <c r="S273" s="283">
        <f>+insumos!$H$268</f>
        <v>0.65</v>
      </c>
      <c r="T273" s="245"/>
      <c r="AA273" s="281"/>
      <c r="AB273" s="307" t="s">
        <v>599</v>
      </c>
      <c r="AC273" s="308">
        <f>+AC271/AC272</f>
        <v>0.0700164910361686</v>
      </c>
      <c r="AD273" s="245"/>
      <c r="BE273" s="281">
        <v>3636</v>
      </c>
      <c r="BF273" s="282" t="s">
        <v>550</v>
      </c>
      <c r="BG273" s="283">
        <f>+insumos!$H$121</f>
        <v>0.0445</v>
      </c>
      <c r="BH273" s="284"/>
    </row>
    <row r="274" spans="2:60" x14ac:dyDescent="0.25">
      <c r="B274" s="311"/>
      <c r="C274" s="307" t="s">
        <v>604</v>
      </c>
      <c r="D274" s="308">
        <f>D273*1.03</f>
        <v>0.4072508480038191</v>
      </c>
      <c r="E274" s="269"/>
      <c r="F274" s="245"/>
      <c r="G274" s="311"/>
      <c r="H274" s="307" t="s">
        <v>604</v>
      </c>
      <c r="I274" s="308">
        <f>I273*1.03</f>
        <v>0.25525348799735037</v>
      </c>
      <c r="J274" s="269"/>
      <c r="K274" s="245"/>
      <c r="L274" s="311"/>
      <c r="M274" s="310" t="s">
        <v>604</v>
      </c>
      <c r="N274" s="308">
        <f>N273*1.03</f>
        <v>0.21358359851156922</v>
      </c>
      <c r="O274" s="245"/>
      <c r="Q274" s="281">
        <v>4542</v>
      </c>
      <c r="R274" s="282" t="s">
        <v>527</v>
      </c>
      <c r="S274" s="283">
        <f>insumos!$I$35</f>
        <v>0.022058823529411763</v>
      </c>
      <c r="AA274" s="311"/>
      <c r="AB274" s="307" t="s">
        <v>604</v>
      </c>
      <c r="AC274" s="308">
        <f>AC273*1.03</f>
        <v>0.07211698576725366</v>
      </c>
      <c r="AD274" s="245"/>
      <c r="BE274" s="292"/>
      <c r="BF274" s="279" t="s">
        <v>553</v>
      </c>
      <c r="BG274" s="293"/>
      <c r="BH274" s="284"/>
    </row>
    <row r="275" spans="10:60" x14ac:dyDescent="0.25">
      <c r="J275" s="269"/>
      <c r="K275" s="245"/>
      <c r="L275" s="245"/>
      <c r="M275" s="245"/>
      <c r="N275" s="245"/>
      <c r="O275" s="245"/>
      <c r="Q275" s="26">
        <v>3817</v>
      </c>
      <c r="R275" s="243" t="s">
        <v>524</v>
      </c>
      <c r="S275" s="289">
        <f>insumos!$I$103*1.8</f>
        <v>0.02088</v>
      </c>
      <c r="T275" s="285" t="s">
        <v>538</v>
      </c>
      <c r="BE275" s="26" t="s">
        <v>566</v>
      </c>
      <c r="BF275" s="30" t="s">
        <v>567</v>
      </c>
      <c r="BG275" s="283">
        <f>insumos!$H$113*16</f>
        <v>0.4321512617947432</v>
      </c>
      <c r="BH275" s="300" t="s">
        <v>580</v>
      </c>
    </row>
    <row r="276" spans="2:60" x14ac:dyDescent="0.25">
      <c r="B276" s="263">
        <v>439832</v>
      </c>
      <c r="C276" s="264" t="s">
        <v>862</v>
      </c>
      <c r="D276" s="267">
        <v>740</v>
      </c>
      <c r="E276" s="266">
        <f>D276/E2</f>
        <v>18.38052657724789</v>
      </c>
      <c r="F276" s="245"/>
      <c r="L276" s="263">
        <v>436516</v>
      </c>
      <c r="M276" s="264" t="s">
        <v>863</v>
      </c>
      <c r="N276" s="265">
        <v>720</v>
      </c>
      <c r="O276" s="245">
        <f>N276/E2</f>
        <v>17.883755588673623</v>
      </c>
      <c r="Q276" s="26">
        <v>2173</v>
      </c>
      <c r="R276" s="243" t="s">
        <v>536</v>
      </c>
      <c r="S276" s="289">
        <f>+insumos!$H$149*2</f>
        <v>0.0349502662966019</v>
      </c>
      <c r="T276" s="1" t="s">
        <v>547</v>
      </c>
      <c r="AA276" s="263">
        <v>991191</v>
      </c>
      <c r="AB276" s="264" t="s">
        <v>864</v>
      </c>
      <c r="AC276" s="267"/>
      <c r="AD276" s="245"/>
      <c r="BE276" s="281">
        <v>6229</v>
      </c>
      <c r="BF276" s="30" t="s">
        <v>588</v>
      </c>
      <c r="BG276" s="283">
        <f>insumos!$I$265*16</f>
        <v>0.3443402664323933</v>
      </c>
      <c r="BH276" s="300" t="s">
        <v>580</v>
      </c>
    </row>
    <row r="277" spans="2:60" x14ac:dyDescent="0.25">
      <c r="B277" s="275" t="s">
        <v>492</v>
      </c>
      <c r="C277" s="276" t="s">
        <v>495</v>
      </c>
      <c r="D277" s="275" t="s">
        <v>467</v>
      </c>
      <c r="E277" s="245"/>
      <c r="F277" s="245"/>
      <c r="K277" s="245"/>
      <c r="L277" s="275" t="s">
        <v>492</v>
      </c>
      <c r="M277" s="277" t="s">
        <v>495</v>
      </c>
      <c r="N277" s="275" t="s">
        <v>467</v>
      </c>
      <c r="O277" s="245"/>
      <c r="Q277" s="281">
        <v>3636</v>
      </c>
      <c r="R277" s="282" t="s">
        <v>550</v>
      </c>
      <c r="S277" s="283">
        <f>+insumos!$H$121</f>
        <v>0.0445</v>
      </c>
      <c r="T277" s="245"/>
      <c r="AA277" s="275" t="s">
        <v>492</v>
      </c>
      <c r="AB277" s="276" t="s">
        <v>495</v>
      </c>
      <c r="AC277" s="275" t="s">
        <v>467</v>
      </c>
      <c r="AD277" s="245"/>
      <c r="BE277" s="281">
        <v>6254</v>
      </c>
      <c r="BF277" s="30" t="s">
        <v>600</v>
      </c>
      <c r="BG277" s="283">
        <f>+insumos!$I$208*16</f>
        <v>0.7113191978268528</v>
      </c>
      <c r="BH277" s="300" t="s">
        <v>580</v>
      </c>
    </row>
    <row r="278" spans="2:60" x14ac:dyDescent="0.25">
      <c r="B278" s="278"/>
      <c r="C278" s="279" t="s">
        <v>134</v>
      </c>
      <c r="D278" s="278"/>
      <c r="E278" s="269"/>
      <c r="F278" s="245"/>
      <c r="K278" s="245"/>
      <c r="L278" s="278"/>
      <c r="M278" s="280" t="s">
        <v>134</v>
      </c>
      <c r="N278" s="278"/>
      <c r="O278" s="245"/>
      <c r="Q278" s="292"/>
      <c r="R278" s="279" t="s">
        <v>553</v>
      </c>
      <c r="S278" s="293"/>
      <c r="T278" s="245"/>
      <c r="AA278" s="278"/>
      <c r="AB278" s="279" t="s">
        <v>134</v>
      </c>
      <c r="AC278" s="278"/>
      <c r="AD278" s="245"/>
      <c r="BE278" s="26" t="s">
        <v>608</v>
      </c>
      <c r="BF278" s="30" t="s">
        <v>609</v>
      </c>
      <c r="BG278" s="283">
        <f>insumos!$H$176*16</f>
        <v>0.864</v>
      </c>
      <c r="BH278" s="300" t="s">
        <v>580</v>
      </c>
    </row>
    <row r="279" spans="2:60" x14ac:dyDescent="0.25">
      <c r="B279" s="281">
        <v>5524</v>
      </c>
      <c r="C279" s="1" t="s">
        <v>501</v>
      </c>
      <c r="D279" s="283">
        <f>insumos!$H$217</f>
        <v>0.8950000000000001</v>
      </c>
      <c r="E279" s="269"/>
      <c r="F279" s="285"/>
      <c r="K279" s="245"/>
      <c r="L279" s="281">
        <v>3741</v>
      </c>
      <c r="M279" s="282" t="s">
        <v>500</v>
      </c>
      <c r="N279" s="283">
        <f>insumos!$G$213</f>
        <v>0.8355871886120997</v>
      </c>
      <c r="O279" s="285"/>
      <c r="Q279" s="26" t="s">
        <v>653</v>
      </c>
      <c r="R279" s="30" t="s">
        <v>654</v>
      </c>
      <c r="S279" s="283">
        <f>insumos!$H$224</f>
        <v>0.1</v>
      </c>
      <c r="T279" s="1"/>
      <c r="AA279" s="281">
        <v>6184</v>
      </c>
      <c r="AB279" s="1" t="s">
        <v>502</v>
      </c>
      <c r="AC279" s="283">
        <f>insumos!$H$215</f>
        <v>0.6</v>
      </c>
      <c r="AD279" s="245"/>
      <c r="BE279" s="297"/>
      <c r="BF279" s="298" t="s">
        <v>5</v>
      </c>
      <c r="BG279" s="299">
        <f>SUM(BG267:BG278)</f>
        <v>5.474887240605258</v>
      </c>
      <c r="BH279" s="300"/>
    </row>
    <row r="280" spans="2:60" x14ac:dyDescent="0.25">
      <c r="B280" s="281">
        <v>5523</v>
      </c>
      <c r="C280" s="282" t="s">
        <v>508</v>
      </c>
      <c r="D280" s="283">
        <f>+insumos!$H$285</f>
        <v>1.1829611337771098</v>
      </c>
      <c r="E280" s="269"/>
      <c r="F280" s="285"/>
      <c r="K280" s="285"/>
      <c r="L280" s="26" t="s">
        <v>509</v>
      </c>
      <c r="M280" s="30" t="s">
        <v>510</v>
      </c>
      <c r="N280" s="283">
        <f>+insumos!$H$267</f>
        <v>1.2</v>
      </c>
      <c r="O280" s="285"/>
      <c r="Q280" s="297"/>
      <c r="R280" s="298" t="s">
        <v>5</v>
      </c>
      <c r="S280" s="299">
        <f>SUM(S272:S279)</f>
        <v>1.4723890898260137</v>
      </c>
      <c r="T280" s="245"/>
      <c r="AA280" s="281">
        <v>2037</v>
      </c>
      <c r="AB280" s="282" t="s">
        <v>511</v>
      </c>
      <c r="AC280" s="283">
        <f>+insumos!$H$268</f>
        <v>0.65</v>
      </c>
      <c r="AD280" s="245"/>
      <c r="BE280" s="281"/>
      <c r="BF280" s="282" t="s">
        <v>587</v>
      </c>
      <c r="BG280" s="304">
        <v>7.66</v>
      </c>
      <c r="BH280" s="269"/>
    </row>
    <row r="281" spans="2:60" x14ac:dyDescent="0.25">
      <c r="B281" s="281">
        <v>4986</v>
      </c>
      <c r="C281" s="1" t="s">
        <v>530</v>
      </c>
      <c r="D281" s="283">
        <f>insumos!$H$255*3</f>
        <v>0.5699996367390061</v>
      </c>
      <c r="E281" s="284" t="s">
        <v>526</v>
      </c>
      <c r="F281" s="285"/>
      <c r="K281" s="285"/>
      <c r="L281" s="281">
        <v>4541</v>
      </c>
      <c r="M281" s="282" t="s">
        <v>528</v>
      </c>
      <c r="N281" s="283">
        <f>insumos!$H$43</f>
        <v>0.022058823529411766</v>
      </c>
      <c r="O281" s="285"/>
      <c r="Q281" s="281"/>
      <c r="R281" s="282" t="s">
        <v>587</v>
      </c>
      <c r="S281" s="304">
        <f>96078.25/5368</f>
        <v>17.898332712369598</v>
      </c>
      <c r="T281" s="245"/>
      <c r="AA281" s="26" t="s">
        <v>533</v>
      </c>
      <c r="AB281" s="30" t="s">
        <v>534</v>
      </c>
      <c r="AC281" s="283">
        <f>insumos!$I$33</f>
        <v>0.049999554426770045</v>
      </c>
      <c r="AD281" s="287"/>
      <c r="BE281" s="281"/>
      <c r="BF281" s="307" t="s">
        <v>599</v>
      </c>
      <c r="BG281" s="308">
        <f>+BG279/BG280</f>
        <v>0.7147372376769267</v>
      </c>
      <c r="BH281" s="269"/>
    </row>
    <row r="282" spans="2:60" x14ac:dyDescent="0.25">
      <c r="B282" s="281">
        <v>4542</v>
      </c>
      <c r="C282" s="282" t="s">
        <v>527</v>
      </c>
      <c r="D282" s="283">
        <f>insumos!$I$35</f>
        <v>0.022058823529411763</v>
      </c>
      <c r="E282" s="284"/>
      <c r="F282" s="285"/>
      <c r="K282" s="285"/>
      <c r="L282" s="26">
        <v>3817</v>
      </c>
      <c r="M282" s="288" t="s">
        <v>524</v>
      </c>
      <c r="N282" s="289">
        <f>insumos!$I$103*1.8</f>
        <v>0.02088</v>
      </c>
      <c r="O282" s="290" t="s">
        <v>537</v>
      </c>
      <c r="Q282" s="281"/>
      <c r="R282" s="307" t="s">
        <v>599</v>
      </c>
      <c r="S282" s="308">
        <f>+S280/S281</f>
        <v>0.08226403618078015</v>
      </c>
      <c r="T282" s="245"/>
      <c r="AA282" s="26">
        <v>3817</v>
      </c>
      <c r="AB282" s="243" t="s">
        <v>524</v>
      </c>
      <c r="AC282" s="289">
        <f>insumos!$I$103*1.8</f>
        <v>0.02088</v>
      </c>
      <c r="AD282" s="285" t="s">
        <v>538</v>
      </c>
      <c r="BE282" s="311"/>
      <c r="BF282" s="307" t="s">
        <v>604</v>
      </c>
      <c r="BG282" s="308">
        <f>BG281*1.03</f>
        <v>0.7361793548072345</v>
      </c>
      <c r="BH282" s="269"/>
    </row>
    <row r="283" spans="2:30" x14ac:dyDescent="0.25">
      <c r="B283" s="26">
        <v>3817</v>
      </c>
      <c r="C283" s="243" t="s">
        <v>524</v>
      </c>
      <c r="D283" s="289">
        <f>insumos!$I$103*1.8</f>
        <v>0.02088</v>
      </c>
      <c r="E283" s="290" t="s">
        <v>537</v>
      </c>
      <c r="F283" s="290"/>
      <c r="K283" s="290"/>
      <c r="L283" s="26">
        <v>2173</v>
      </c>
      <c r="M283" s="288" t="s">
        <v>536</v>
      </c>
      <c r="N283" s="289">
        <f>+insumos!$H$149*2</f>
        <v>0.0349502662966019</v>
      </c>
      <c r="O283" s="291" t="s">
        <v>547</v>
      </c>
      <c r="Q283" s="311"/>
      <c r="R283" s="307" t="s">
        <v>604</v>
      </c>
      <c r="S283" s="308">
        <f>S282*1.03</f>
        <v>0.08473195726620356</v>
      </c>
      <c r="AA283" s="26">
        <v>2173</v>
      </c>
      <c r="AB283" s="243" t="s">
        <v>536</v>
      </c>
      <c r="AC283" s="289">
        <f>+insumos!$H$149*2</f>
        <v>0.0349502662966019</v>
      </c>
      <c r="AD283" s="1" t="s">
        <v>547</v>
      </c>
    </row>
    <row r="284" spans="2:60" x14ac:dyDescent="0.25">
      <c r="B284" s="26">
        <v>2173</v>
      </c>
      <c r="C284" s="243" t="s">
        <v>536</v>
      </c>
      <c r="D284" s="289">
        <f>+insumos!$H$149*2</f>
        <v>0.0349502662966019</v>
      </c>
      <c r="E284" s="291" t="s">
        <v>547</v>
      </c>
      <c r="F284" s="291"/>
      <c r="K284" s="291"/>
      <c r="L284" s="281">
        <v>3636</v>
      </c>
      <c r="M284" s="286" t="s">
        <v>550</v>
      </c>
      <c r="N284" s="283">
        <f>+insumos!$H$121</f>
        <v>0.0445</v>
      </c>
      <c r="O284" s="285"/>
      <c r="AA284" s="281">
        <v>3636</v>
      </c>
      <c r="AB284" s="282" t="s">
        <v>550</v>
      </c>
      <c r="AC284" s="283">
        <f>+insumos!$H$121</f>
        <v>0.0445</v>
      </c>
      <c r="AD284" s="245"/>
      <c r="BE284" s="263">
        <v>442036</v>
      </c>
      <c r="BF284" s="264" t="s">
        <v>865</v>
      </c>
      <c r="BG284" s="267"/>
      <c r="BH284" s="269"/>
    </row>
    <row r="285" spans="2:60" x14ac:dyDescent="0.25">
      <c r="B285" s="281">
        <v>3636</v>
      </c>
      <c r="C285" s="282" t="s">
        <v>550</v>
      </c>
      <c r="D285" s="283">
        <f>+insumos!$H$121</f>
        <v>0.0445</v>
      </c>
      <c r="F285" s="285"/>
      <c r="K285" s="285"/>
      <c r="L285" s="292"/>
      <c r="M285" s="280" t="s">
        <v>553</v>
      </c>
      <c r="N285" s="293"/>
      <c r="O285" s="285"/>
      <c r="Q285" s="263">
        <v>998760</v>
      </c>
      <c r="R285" s="264" t="s">
        <v>866</v>
      </c>
      <c r="S285" s="267"/>
      <c r="T285" s="245"/>
      <c r="AA285" s="292"/>
      <c r="AB285" s="279" t="s">
        <v>553</v>
      </c>
      <c r="AC285" s="293"/>
      <c r="AD285" s="245"/>
      <c r="BE285" s="275" t="s">
        <v>492</v>
      </c>
      <c r="BF285" s="276" t="s">
        <v>495</v>
      </c>
      <c r="BG285" s="275" t="s">
        <v>467</v>
      </c>
      <c r="BH285" s="269"/>
    </row>
    <row r="286" spans="2:60" x14ac:dyDescent="0.25">
      <c r="B286" s="292"/>
      <c r="C286" s="279" t="s">
        <v>553</v>
      </c>
      <c r="D286" s="293"/>
      <c r="F286" s="285"/>
      <c r="K286" s="291"/>
      <c r="L286" s="26" t="s">
        <v>867</v>
      </c>
      <c r="M286" s="1" t="s">
        <v>868</v>
      </c>
      <c r="N286" s="283">
        <f>insumos!$H$91*5</f>
        <v>0.5899659863945578</v>
      </c>
      <c r="O286" s="291" t="s">
        <v>652</v>
      </c>
      <c r="Q286" s="275" t="s">
        <v>492</v>
      </c>
      <c r="R286" s="276" t="s">
        <v>495</v>
      </c>
      <c r="S286" s="275" t="s">
        <v>467</v>
      </c>
      <c r="T286" s="245"/>
      <c r="AA286" s="26"/>
      <c r="AB286" s="30"/>
      <c r="AC286" s="283"/>
      <c r="AD286" s="1"/>
      <c r="BE286" s="278"/>
      <c r="BF286" s="279" t="s">
        <v>134</v>
      </c>
      <c r="BG286" s="278"/>
      <c r="BH286" s="269"/>
    </row>
    <row r="287" spans="2:60" x14ac:dyDescent="0.25">
      <c r="B287" s="281">
        <v>6208</v>
      </c>
      <c r="C287" s="282" t="s">
        <v>573</v>
      </c>
      <c r="D287" s="283">
        <f>insumos!$H$188*10</f>
        <v>0.9108235294117646</v>
      </c>
      <c r="E287" s="300" t="s">
        <v>563</v>
      </c>
      <c r="F287" s="291"/>
      <c r="K287" s="291"/>
      <c r="L287" s="26" t="s">
        <v>566</v>
      </c>
      <c r="M287" s="30" t="s">
        <v>567</v>
      </c>
      <c r="N287" s="283">
        <f>insumos!$H$113*5</f>
        <v>0.13504726931085725</v>
      </c>
      <c r="O287" s="291" t="s">
        <v>652</v>
      </c>
      <c r="Q287" s="278"/>
      <c r="R287" s="279" t="s">
        <v>134</v>
      </c>
      <c r="S287" s="278"/>
      <c r="T287" s="245"/>
      <c r="AA287" s="26"/>
      <c r="AB287" s="30"/>
      <c r="AC287" s="283"/>
      <c r="AD287" s="1"/>
      <c r="BE287" s="281">
        <v>3741</v>
      </c>
      <c r="BF287" s="282" t="s">
        <v>500</v>
      </c>
      <c r="BG287" s="283">
        <f>insumos!$G$213</f>
        <v>0.8355871886120997</v>
      </c>
      <c r="BH287" s="284"/>
    </row>
    <row r="288" spans="2:60" x14ac:dyDescent="0.25">
      <c r="B288" s="281">
        <v>5202</v>
      </c>
      <c r="C288" s="282" t="s">
        <v>586</v>
      </c>
      <c r="D288" s="283">
        <f>insumos!$H$114*10</f>
        <v>0.26344761904761904</v>
      </c>
      <c r="E288" s="300" t="s">
        <v>563</v>
      </c>
      <c r="F288" s="291"/>
      <c r="K288" s="291"/>
      <c r="L288" s="297"/>
      <c r="M288" s="303" t="s">
        <v>5</v>
      </c>
      <c r="N288" s="299">
        <f>SUM(N279:N287)</f>
        <v>2.8829895341435288</v>
      </c>
      <c r="O288" s="245"/>
      <c r="Q288" s="281">
        <v>6184</v>
      </c>
      <c r="R288" s="1" t="s">
        <v>502</v>
      </c>
      <c r="S288" s="283">
        <f>insumos!$H$215</f>
        <v>0.6</v>
      </c>
      <c r="T288" s="245"/>
      <c r="AA288" s="297"/>
      <c r="AB288" s="298" t="s">
        <v>5</v>
      </c>
      <c r="AC288" s="299">
        <f>SUM(AC279:AC287)</f>
        <v>1.4003298207233719</v>
      </c>
      <c r="AD288" s="245"/>
      <c r="BE288" s="26" t="s">
        <v>517</v>
      </c>
      <c r="BF288" s="30" t="s">
        <v>518</v>
      </c>
      <c r="BG288" s="283">
        <f>+insumos!$H$263</f>
        <v>1.6</v>
      </c>
      <c r="BH288" s="284"/>
    </row>
    <row r="289" spans="2:60" x14ac:dyDescent="0.25">
      <c r="B289" s="281">
        <v>6229</v>
      </c>
      <c r="C289" s="30" t="s">
        <v>588</v>
      </c>
      <c r="D289" s="283">
        <f>insumos!$I$265*10</f>
        <v>0.21521266652024582</v>
      </c>
      <c r="E289" s="300" t="s">
        <v>563</v>
      </c>
      <c r="F289" s="291"/>
      <c r="K289" s="245"/>
      <c r="L289" s="281"/>
      <c r="M289" s="286" t="s">
        <v>587</v>
      </c>
      <c r="N289" s="304">
        <f>18186/1366</f>
        <v>13.313323572474378</v>
      </c>
      <c r="O289" s="245"/>
      <c r="Q289" s="281">
        <v>2037</v>
      </c>
      <c r="R289" s="282" t="s">
        <v>511</v>
      </c>
      <c r="S289" s="283">
        <f>+insumos!$H$268</f>
        <v>0.65</v>
      </c>
      <c r="T289" s="245"/>
      <c r="AA289" s="281"/>
      <c r="AB289" s="282" t="s">
        <v>587</v>
      </c>
      <c r="AC289" s="304">
        <f>146362.59/5379</f>
        <v>27.21</v>
      </c>
      <c r="AD289" s="245"/>
      <c r="BE289" s="281">
        <v>4653</v>
      </c>
      <c r="BF289" s="282" t="s">
        <v>525</v>
      </c>
      <c r="BG289" s="283">
        <f>insumos!$H$254*2</f>
        <v>0.37281192211465247</v>
      </c>
      <c r="BH289" s="284" t="s">
        <v>532</v>
      </c>
    </row>
    <row r="290" spans="2:60" x14ac:dyDescent="0.25">
      <c r="B290" s="281">
        <v>6254</v>
      </c>
      <c r="C290" s="30" t="s">
        <v>600</v>
      </c>
      <c r="D290" s="283">
        <f>+insumos!$I$208*10</f>
        <v>0.444574498641783</v>
      </c>
      <c r="E290" s="300" t="s">
        <v>563</v>
      </c>
      <c r="F290" s="291"/>
      <c r="K290" s="245"/>
      <c r="L290" s="281"/>
      <c r="M290" s="310" t="s">
        <v>599</v>
      </c>
      <c r="N290" s="308">
        <f>+N288/N289</f>
        <v>0.2165491973848048</v>
      </c>
      <c r="O290" s="245"/>
      <c r="Q290" s="281">
        <v>4542</v>
      </c>
      <c r="R290" s="282" t="s">
        <v>527</v>
      </c>
      <c r="S290" s="283">
        <f>insumos!$I$35</f>
        <v>0.022058823529411763</v>
      </c>
      <c r="AA290" s="281"/>
      <c r="AB290" s="307" t="s">
        <v>599</v>
      </c>
      <c r="AC290" s="308">
        <f>+AC288/AC289</f>
        <v>0.05146379348487217</v>
      </c>
      <c r="AD290" s="245"/>
      <c r="BE290" s="26" t="s">
        <v>541</v>
      </c>
      <c r="BF290" s="30" t="s">
        <v>542</v>
      </c>
      <c r="BG290" s="283">
        <f>insumos!$H$50</f>
        <v>0.027941176470588237</v>
      </c>
      <c r="BH290" s="284"/>
    </row>
    <row r="291" spans="2:60" x14ac:dyDescent="0.25">
      <c r="B291" s="281">
        <v>5868</v>
      </c>
      <c r="C291" s="30" t="s">
        <v>605</v>
      </c>
      <c r="D291" s="283">
        <f>insumos!$I$243*10</f>
        <v>0.18960000000000002</v>
      </c>
      <c r="E291" s="300" t="s">
        <v>563</v>
      </c>
      <c r="F291" s="291"/>
      <c r="K291" s="245"/>
      <c r="L291" s="311"/>
      <c r="M291" s="310" t="s">
        <v>604</v>
      </c>
      <c r="N291" s="308">
        <f>N290*1.03</f>
        <v>0.22304567330634895</v>
      </c>
      <c r="O291" s="245"/>
      <c r="Q291" s="26">
        <v>3817</v>
      </c>
      <c r="R291" s="243" t="s">
        <v>524</v>
      </c>
      <c r="S291" s="289">
        <f>insumos!$I$103*1.8</f>
        <v>0.02088</v>
      </c>
      <c r="T291" s="285" t="s">
        <v>538</v>
      </c>
      <c r="AA291" s="311"/>
      <c r="AB291" s="307" t="s">
        <v>604</v>
      </c>
      <c r="AC291" s="308">
        <f>AC290*1.03</f>
        <v>0.05300770728941834</v>
      </c>
      <c r="AD291" s="245"/>
      <c r="BE291" s="26">
        <v>3817</v>
      </c>
      <c r="BF291" s="243" t="s">
        <v>524</v>
      </c>
      <c r="BG291" s="289">
        <f>insumos!$I$103*1.8</f>
        <v>0.02088</v>
      </c>
      <c r="BH291" s="290" t="s">
        <v>537</v>
      </c>
    </row>
    <row r="292" spans="2:60" x14ac:dyDescent="0.25">
      <c r="B292" s="297"/>
      <c r="C292" s="298" t="s">
        <v>5</v>
      </c>
      <c r="D292" s="299">
        <f>SUM(D279:D291)</f>
        <v>4.794008173963543</v>
      </c>
      <c r="F292" s="245"/>
      <c r="K292" s="245"/>
      <c r="Q292" s="26">
        <v>2173</v>
      </c>
      <c r="R292" s="243" t="s">
        <v>536</v>
      </c>
      <c r="S292" s="289">
        <f>+insumos!$H$149*2</f>
        <v>0.0349502662966019</v>
      </c>
      <c r="T292" s="1" t="s">
        <v>547</v>
      </c>
      <c r="BE292" s="26">
        <v>2173</v>
      </c>
      <c r="BF292" s="243" t="s">
        <v>536</v>
      </c>
      <c r="BG292" s="289">
        <f>+insumos!$H$149*2</f>
        <v>0.0349502662966019</v>
      </c>
      <c r="BH292" s="291" t="s">
        <v>547</v>
      </c>
    </row>
    <row r="293" spans="2:60" x14ac:dyDescent="0.25">
      <c r="B293" s="281"/>
      <c r="C293" s="282" t="s">
        <v>587</v>
      </c>
      <c r="D293" s="281">
        <v>14.09</v>
      </c>
      <c r="F293" s="245"/>
      <c r="L293" s="263">
        <v>436538</v>
      </c>
      <c r="M293" s="264" t="s">
        <v>869</v>
      </c>
      <c r="N293" s="265"/>
      <c r="O293" s="245"/>
      <c r="Q293" s="281">
        <v>3636</v>
      </c>
      <c r="R293" s="282" t="s">
        <v>550</v>
      </c>
      <c r="S293" s="283">
        <f>+insumos!$H$121</f>
        <v>0.0445</v>
      </c>
      <c r="T293" s="245"/>
      <c r="AA293" s="263">
        <v>991193</v>
      </c>
      <c r="AB293" s="264" t="s">
        <v>870</v>
      </c>
      <c r="AC293" s="267"/>
      <c r="AD293" s="245"/>
      <c r="BE293" s="281">
        <v>3636</v>
      </c>
      <c r="BF293" s="282" t="s">
        <v>550</v>
      </c>
      <c r="BG293" s="283">
        <f>+insumos!$H$121</f>
        <v>0.0445</v>
      </c>
      <c r="BH293" s="284"/>
    </row>
    <row r="294" spans="2:60" x14ac:dyDescent="0.25">
      <c r="B294" s="281"/>
      <c r="C294" s="307" t="s">
        <v>599</v>
      </c>
      <c r="D294" s="308">
        <f>+D292/D293</f>
        <v>0.34024188601586536</v>
      </c>
      <c r="E294" s="269"/>
      <c r="F294" s="245"/>
      <c r="K294" s="245"/>
      <c r="L294" s="275" t="s">
        <v>492</v>
      </c>
      <c r="M294" s="277" t="s">
        <v>495</v>
      </c>
      <c r="N294" s="275" t="s">
        <v>467</v>
      </c>
      <c r="O294" s="245"/>
      <c r="Q294" s="292"/>
      <c r="R294" s="279" t="s">
        <v>553</v>
      </c>
      <c r="S294" s="293"/>
      <c r="T294" s="245"/>
      <c r="AA294" s="275" t="s">
        <v>492</v>
      </c>
      <c r="AB294" s="276" t="s">
        <v>495</v>
      </c>
      <c r="AC294" s="275" t="s">
        <v>467</v>
      </c>
      <c r="AD294" s="245"/>
      <c r="BE294" s="292"/>
      <c r="BF294" s="279" t="s">
        <v>553</v>
      </c>
      <c r="BG294" s="293"/>
      <c r="BH294" s="284"/>
    </row>
    <row r="295" spans="2:60" x14ac:dyDescent="0.25">
      <c r="B295" s="311"/>
      <c r="C295" s="307" t="s">
        <v>604</v>
      </c>
      <c r="D295" s="308">
        <f>D294*1.03</f>
        <v>0.3504491425963413</v>
      </c>
      <c r="E295" s="269"/>
      <c r="F295" s="245"/>
      <c r="K295" s="245"/>
      <c r="L295" s="278"/>
      <c r="M295" s="280" t="s">
        <v>134</v>
      </c>
      <c r="N295" s="278"/>
      <c r="O295" s="245"/>
      <c r="Q295" s="26" t="s">
        <v>653</v>
      </c>
      <c r="R295" s="30" t="s">
        <v>654</v>
      </c>
      <c r="S295" s="283">
        <f>insumos!$H$224</f>
        <v>0.1</v>
      </c>
      <c r="T295" s="1"/>
      <c r="AA295" s="278"/>
      <c r="AB295" s="279" t="s">
        <v>134</v>
      </c>
      <c r="AC295" s="278"/>
      <c r="AD295" s="245"/>
      <c r="BE295" s="26" t="s">
        <v>566</v>
      </c>
      <c r="BF295" s="30" t="s">
        <v>567</v>
      </c>
      <c r="BG295" s="283">
        <f>insumos!$H$113*12</f>
        <v>0.32411344634605743</v>
      </c>
      <c r="BH295" s="300" t="s">
        <v>568</v>
      </c>
    </row>
    <row r="296" spans="2:60" x14ac:dyDescent="0.25">
      <c r="B296" s="245"/>
      <c r="C296" s="245"/>
      <c r="D296" s="245"/>
      <c r="E296" s="269"/>
      <c r="K296" s="245"/>
      <c r="L296" s="281">
        <v>5524</v>
      </c>
      <c r="M296" s="1" t="s">
        <v>501</v>
      </c>
      <c r="N296" s="283">
        <f>insumos!$H$217</f>
        <v>0.8950000000000001</v>
      </c>
      <c r="O296" s="285"/>
      <c r="Q296" s="297"/>
      <c r="R296" s="298" t="s">
        <v>5</v>
      </c>
      <c r="S296" s="299">
        <f>SUM(S288:S295)</f>
        <v>1.4723890898260137</v>
      </c>
      <c r="T296" s="245"/>
      <c r="AA296" s="281">
        <v>6184</v>
      </c>
      <c r="AB296" s="1" t="s">
        <v>502</v>
      </c>
      <c r="AC296" s="283">
        <f>insumos!$H$215</f>
        <v>0.6</v>
      </c>
      <c r="AD296" s="245"/>
      <c r="BE296" s="281">
        <v>6229</v>
      </c>
      <c r="BF296" s="30" t="s">
        <v>588</v>
      </c>
      <c r="BG296" s="283">
        <f>insumos!$I$265*12</f>
        <v>0.25825519982429496</v>
      </c>
      <c r="BH296" s="300" t="s">
        <v>568</v>
      </c>
    </row>
    <row r="297" spans="2:60" x14ac:dyDescent="0.25">
      <c r="B297" s="263">
        <v>439909</v>
      </c>
      <c r="C297" s="264" t="s">
        <v>871</v>
      </c>
      <c r="D297" s="267">
        <v>640</v>
      </c>
      <c r="E297" s="266">
        <f>D297/E2</f>
        <v>15.896671634376553</v>
      </c>
      <c r="F297" s="245"/>
      <c r="K297" s="285"/>
      <c r="L297" s="26" t="s">
        <v>513</v>
      </c>
      <c r="M297" s="30" t="s">
        <v>514</v>
      </c>
      <c r="N297" s="283">
        <f>+insumos!$H$266</f>
        <v>1.1500000000000001</v>
      </c>
      <c r="O297" s="285"/>
      <c r="Q297" s="281"/>
      <c r="R297" s="282" t="s">
        <v>587</v>
      </c>
      <c r="S297" s="304">
        <f>58907.73/3163</f>
        <v>18.624005690799873</v>
      </c>
      <c r="T297" s="245"/>
      <c r="AA297" s="281">
        <v>2037</v>
      </c>
      <c r="AB297" s="282" t="s">
        <v>511</v>
      </c>
      <c r="AC297" s="283">
        <f>+insumos!$H$268</f>
        <v>0.65</v>
      </c>
      <c r="AD297" s="245"/>
      <c r="BE297" s="281">
        <v>6254</v>
      </c>
      <c r="BF297" s="30" t="s">
        <v>600</v>
      </c>
      <c r="BG297" s="283">
        <f>+insumos!$I$208*12</f>
        <v>0.5334893983701396</v>
      </c>
      <c r="BH297" s="300" t="s">
        <v>568</v>
      </c>
    </row>
    <row r="298" spans="2:60" x14ac:dyDescent="0.25">
      <c r="B298" s="275" t="s">
        <v>492</v>
      </c>
      <c r="C298" s="276" t="s">
        <v>495</v>
      </c>
      <c r="D298" s="275" t="s">
        <v>467</v>
      </c>
      <c r="E298" s="245"/>
      <c r="F298" s="245"/>
      <c r="K298" s="285"/>
      <c r="L298" s="281">
        <v>4542</v>
      </c>
      <c r="M298" s="286" t="s">
        <v>527</v>
      </c>
      <c r="N298" s="283">
        <f>insumos!$I$35</f>
        <v>0.022058823529411763</v>
      </c>
      <c r="O298" s="285"/>
      <c r="Q298" s="281"/>
      <c r="R298" s="307" t="s">
        <v>599</v>
      </c>
      <c r="S298" s="308">
        <f>+S296/S297</f>
        <v>0.07905866838052801</v>
      </c>
      <c r="T298" s="245"/>
      <c r="AA298" s="281">
        <v>4542</v>
      </c>
      <c r="AB298" s="282" t="s">
        <v>527</v>
      </c>
      <c r="AC298" s="283">
        <f>insumos!$I$35</f>
        <v>0.022058823529411763</v>
      </c>
      <c r="AD298" s="287"/>
      <c r="BE298" s="26" t="s">
        <v>608</v>
      </c>
      <c r="BF298" s="30" t="s">
        <v>609</v>
      </c>
      <c r="BG298" s="283">
        <f>insumos!$H$176*12</f>
        <v>0.648</v>
      </c>
      <c r="BH298" s="300" t="s">
        <v>568</v>
      </c>
    </row>
    <row r="299" spans="2:60" x14ac:dyDescent="0.25">
      <c r="B299" s="278"/>
      <c r="C299" s="279" t="s">
        <v>134</v>
      </c>
      <c r="D299" s="278"/>
      <c r="E299" s="269"/>
      <c r="F299" s="245"/>
      <c r="K299" s="285"/>
      <c r="L299" s="26">
        <v>3817</v>
      </c>
      <c r="M299" s="288" t="s">
        <v>524</v>
      </c>
      <c r="N299" s="289">
        <f>insumos!$I$103*1.8</f>
        <v>0.02088</v>
      </c>
      <c r="O299" s="290" t="s">
        <v>537</v>
      </c>
      <c r="Q299" s="311"/>
      <c r="R299" s="307" t="s">
        <v>604</v>
      </c>
      <c r="S299" s="308">
        <f>S298*1.03</f>
        <v>0.08143042843194385</v>
      </c>
      <c r="AA299" s="26">
        <v>3817</v>
      </c>
      <c r="AB299" s="243" t="s">
        <v>524</v>
      </c>
      <c r="AC299" s="289">
        <f>insumos!$I$103*1.8</f>
        <v>0.02088</v>
      </c>
      <c r="AD299" s="285" t="s">
        <v>538</v>
      </c>
      <c r="BE299" s="297"/>
      <c r="BF299" s="298" t="s">
        <v>5</v>
      </c>
      <c r="BG299" s="299">
        <f>SUM(BG287:BG298)</f>
        <v>4.700528598034435</v>
      </c>
      <c r="BH299" s="300"/>
    </row>
    <row r="300" spans="2:60" x14ac:dyDescent="0.25">
      <c r="B300" s="281">
        <v>3741</v>
      </c>
      <c r="C300" s="282" t="s">
        <v>500</v>
      </c>
      <c r="D300" s="283">
        <f>insumos!$G$213</f>
        <v>0.8355871886120997</v>
      </c>
      <c r="E300" s="269"/>
      <c r="F300" s="285"/>
      <c r="K300" s="290"/>
      <c r="L300" s="26">
        <v>2173</v>
      </c>
      <c r="M300" s="288" t="s">
        <v>536</v>
      </c>
      <c r="N300" s="289">
        <f>+insumos!$H$149*2</f>
        <v>0.0349502662966019</v>
      </c>
      <c r="O300" s="291" t="s">
        <v>547</v>
      </c>
      <c r="AA300" s="26">
        <v>2173</v>
      </c>
      <c r="AB300" s="243" t="s">
        <v>536</v>
      </c>
      <c r="AC300" s="289">
        <f>+insumos!$H$149*2</f>
        <v>0.0349502662966019</v>
      </c>
      <c r="AD300" s="1" t="s">
        <v>547</v>
      </c>
      <c r="BE300" s="281"/>
      <c r="BF300" s="282" t="s">
        <v>587</v>
      </c>
      <c r="BG300" s="304">
        <f>1659.9/151</f>
        <v>10.99271523178808</v>
      </c>
      <c r="BH300" s="269"/>
    </row>
    <row r="301" spans="2:60" x14ac:dyDescent="0.25">
      <c r="B301" s="281">
        <v>3759</v>
      </c>
      <c r="C301" s="1" t="s">
        <v>507</v>
      </c>
      <c r="D301" s="283">
        <f>+insumos!$G$284</f>
        <v>1.1352416613292604</v>
      </c>
      <c r="E301" s="269"/>
      <c r="F301" s="285"/>
      <c r="K301" s="291"/>
      <c r="L301" s="281">
        <v>3636</v>
      </c>
      <c r="M301" s="286" t="s">
        <v>550</v>
      </c>
      <c r="N301" s="283">
        <f>+insumos!$H$121</f>
        <v>0.0445</v>
      </c>
      <c r="O301" s="285"/>
      <c r="Q301" s="263">
        <v>998536</v>
      </c>
      <c r="R301" s="264" t="s">
        <v>872</v>
      </c>
      <c r="S301" s="267"/>
      <c r="T301" s="245"/>
      <c r="AA301" s="281">
        <v>3636</v>
      </c>
      <c r="AB301" s="282" t="s">
        <v>550</v>
      </c>
      <c r="AC301" s="283">
        <f>+insumos!$H$121</f>
        <v>0.0445</v>
      </c>
      <c r="AD301" s="245"/>
      <c r="BE301" s="281"/>
      <c r="BF301" s="307" t="s">
        <v>599</v>
      </c>
      <c r="BG301" s="308">
        <f>+BG299/BG300</f>
        <v>0.427603963071992</v>
      </c>
      <c r="BH301" s="269"/>
    </row>
    <row r="302" spans="2:60" x14ac:dyDescent="0.25">
      <c r="B302" s="281">
        <v>4653</v>
      </c>
      <c r="C302" s="282" t="s">
        <v>525</v>
      </c>
      <c r="D302" s="283">
        <f>insumos!$H$254*3</f>
        <v>0.5592178831719787</v>
      </c>
      <c r="E302" s="284" t="s">
        <v>526</v>
      </c>
      <c r="F302" s="285"/>
      <c r="K302" s="285"/>
      <c r="L302" s="292"/>
      <c r="M302" s="280" t="s">
        <v>553</v>
      </c>
      <c r="N302" s="293"/>
      <c r="O302" s="285"/>
      <c r="Q302" s="275" t="s">
        <v>492</v>
      </c>
      <c r="R302" s="276" t="s">
        <v>495</v>
      </c>
      <c r="S302" s="275" t="s">
        <v>467</v>
      </c>
      <c r="T302" s="245"/>
      <c r="AA302" s="292"/>
      <c r="AB302" s="279" t="s">
        <v>553</v>
      </c>
      <c r="AC302" s="293"/>
      <c r="AD302" s="245"/>
      <c r="BE302" s="311"/>
      <c r="BF302" s="307" t="s">
        <v>604</v>
      </c>
      <c r="BG302" s="308">
        <f>BG301*1.03</f>
        <v>0.4404320819641518</v>
      </c>
      <c r="BH302" s="269"/>
    </row>
    <row r="303" spans="2:30" x14ac:dyDescent="0.25">
      <c r="B303" s="281">
        <v>4541</v>
      </c>
      <c r="C303" s="282" t="s">
        <v>528</v>
      </c>
      <c r="D303" s="283">
        <f>insumos!$H$43</f>
        <v>0.022058823529411766</v>
      </c>
      <c r="E303" s="284"/>
      <c r="F303" s="285"/>
      <c r="K303" s="285"/>
      <c r="L303" s="319"/>
      <c r="M303" s="320" t="s">
        <v>873</v>
      </c>
      <c r="N303" s="321"/>
      <c r="O303" s="291"/>
      <c r="Q303" s="278"/>
      <c r="R303" s="279" t="s">
        <v>134</v>
      </c>
      <c r="S303" s="278"/>
      <c r="T303" s="245"/>
      <c r="AA303" s="26" t="s">
        <v>693</v>
      </c>
      <c r="AB303" s="1" t="s">
        <v>694</v>
      </c>
      <c r="AC303" s="283">
        <f>insumos!$H$67*20</f>
        <v>1.2200186056545008</v>
      </c>
      <c r="AD303" s="1" t="s">
        <v>707</v>
      </c>
    </row>
    <row r="304" spans="2:30" x14ac:dyDescent="0.25">
      <c r="B304" s="26">
        <v>3817</v>
      </c>
      <c r="C304" s="243" t="s">
        <v>524</v>
      </c>
      <c r="D304" s="289">
        <f>insumos!$I$103*1.8</f>
        <v>0.02088</v>
      </c>
      <c r="E304" s="290" t="s">
        <v>537</v>
      </c>
      <c r="F304" s="290"/>
      <c r="K304" s="291"/>
      <c r="L304" s="319"/>
      <c r="M304" s="327"/>
      <c r="N304" s="321"/>
      <c r="O304" s="291"/>
      <c r="Q304" s="281">
        <v>6184</v>
      </c>
      <c r="R304" s="1" t="s">
        <v>502</v>
      </c>
      <c r="S304" s="283">
        <f>insumos!$H$215</f>
        <v>0.6</v>
      </c>
      <c r="T304" s="245"/>
      <c r="AA304" s="26" t="s">
        <v>574</v>
      </c>
      <c r="AB304" s="30" t="s">
        <v>575</v>
      </c>
      <c r="AC304" s="283">
        <f>insumos!$H$120*20</f>
        <v>0.398</v>
      </c>
      <c r="AD304" s="1" t="s">
        <v>707</v>
      </c>
    </row>
    <row r="305" spans="2:30" x14ac:dyDescent="0.25">
      <c r="B305" s="26">
        <v>2173</v>
      </c>
      <c r="C305" s="243" t="s">
        <v>536</v>
      </c>
      <c r="D305" s="289">
        <f>+insumos!$H$149*2</f>
        <v>0.0349502662966019</v>
      </c>
      <c r="E305" s="291" t="s">
        <v>547</v>
      </c>
      <c r="F305" s="291"/>
      <c r="K305" s="291"/>
      <c r="L305" s="297"/>
      <c r="M305" s="303" t="s">
        <v>5</v>
      </c>
      <c r="N305" s="299">
        <f>SUM(N296:N304)</f>
        <v>2.167389089826014</v>
      </c>
      <c r="O305" s="245"/>
      <c r="Q305" s="281">
        <v>2037</v>
      </c>
      <c r="R305" s="282" t="s">
        <v>511</v>
      </c>
      <c r="S305" s="283">
        <f>+insumos!$H$268</f>
        <v>0.65</v>
      </c>
      <c r="T305" s="245"/>
      <c r="AA305" s="297"/>
      <c r="AB305" s="298" t="s">
        <v>5</v>
      </c>
      <c r="AC305" s="299">
        <f>SUM(AC296:AC304)</f>
        <v>2.9904076954805148</v>
      </c>
      <c r="AD305" s="245"/>
    </row>
    <row r="306" spans="2:30" x14ac:dyDescent="0.25">
      <c r="B306" s="281">
        <v>3636</v>
      </c>
      <c r="C306" s="282" t="s">
        <v>550</v>
      </c>
      <c r="D306" s="283">
        <f>+insumos!$H$121</f>
        <v>0.0445</v>
      </c>
      <c r="F306" s="285"/>
      <c r="K306" s="245"/>
      <c r="L306" s="281"/>
      <c r="M306" s="286" t="s">
        <v>587</v>
      </c>
      <c r="N306" s="304">
        <f>1046.47/68</f>
        <v>15.389264705882354</v>
      </c>
      <c r="O306" s="245"/>
      <c r="Q306" s="281">
        <v>4542</v>
      </c>
      <c r="R306" s="282" t="s">
        <v>527</v>
      </c>
      <c r="S306" s="283">
        <f>insumos!$I$35</f>
        <v>0.022058823529411763</v>
      </c>
      <c r="AA306" s="281"/>
      <c r="AB306" s="282" t="s">
        <v>587</v>
      </c>
      <c r="AC306" s="304">
        <f>19135.39/955</f>
        <v>20.037057591623036</v>
      </c>
      <c r="AD306" s="245"/>
    </row>
    <row r="307" spans="2:30" x14ac:dyDescent="0.25">
      <c r="B307" s="292"/>
      <c r="C307" s="279" t="s">
        <v>553</v>
      </c>
      <c r="D307" s="293"/>
      <c r="F307" s="285"/>
      <c r="K307" s="245"/>
      <c r="L307" s="281"/>
      <c r="M307" s="310" t="s">
        <v>599</v>
      </c>
      <c r="N307" s="308">
        <f>+N305/N306</f>
        <v>0.14083772884857565</v>
      </c>
      <c r="O307" s="245"/>
      <c r="Q307" s="26">
        <v>3817</v>
      </c>
      <c r="R307" s="243" t="s">
        <v>524</v>
      </c>
      <c r="S307" s="289">
        <f>insumos!$I$103*1.8</f>
        <v>0.02088</v>
      </c>
      <c r="T307" s="285" t="s">
        <v>538</v>
      </c>
      <c r="AA307" s="281"/>
      <c r="AB307" s="307" t="s">
        <v>599</v>
      </c>
      <c r="AC307" s="308">
        <f>+AC305/AC306</f>
        <v>0.14924385388455066</v>
      </c>
      <c r="AD307" s="245"/>
    </row>
    <row r="308" spans="2:30" x14ac:dyDescent="0.25">
      <c r="B308" s="26" t="s">
        <v>874</v>
      </c>
      <c r="C308" s="1" t="s">
        <v>875</v>
      </c>
      <c r="D308" s="283">
        <f>insumos!H156*16</f>
        <v>1.4896</v>
      </c>
      <c r="E308" s="300" t="s">
        <v>580</v>
      </c>
      <c r="F308" s="291"/>
      <c r="K308" s="245"/>
      <c r="L308" s="311"/>
      <c r="M308" s="310" t="s">
        <v>604</v>
      </c>
      <c r="N308" s="308">
        <f>N307*1.03</f>
        <v>0.14506286071403293</v>
      </c>
      <c r="O308" s="245"/>
      <c r="Q308" s="26">
        <v>2173</v>
      </c>
      <c r="R308" s="243" t="s">
        <v>536</v>
      </c>
      <c r="S308" s="289">
        <f>+insumos!$H$149*2</f>
        <v>0.0349502662966019</v>
      </c>
      <c r="T308" s="1" t="s">
        <v>547</v>
      </c>
      <c r="AA308" s="311"/>
      <c r="AB308" s="307" t="s">
        <v>604</v>
      </c>
      <c r="AC308" s="308">
        <f>AC307*1.03</f>
        <v>0.1537211695010872</v>
      </c>
      <c r="AD308" s="245"/>
    </row>
    <row r="309" spans="2:20" x14ac:dyDescent="0.25">
      <c r="B309" s="281">
        <v>5202</v>
      </c>
      <c r="C309" s="282" t="s">
        <v>586</v>
      </c>
      <c r="D309" s="283">
        <f>insumos!$H$114*16</f>
        <v>0.4215161904761905</v>
      </c>
      <c r="E309" s="300" t="s">
        <v>580</v>
      </c>
      <c r="F309" s="291"/>
      <c r="K309" s="245"/>
      <c r="Q309" s="281">
        <v>3636</v>
      </c>
      <c r="R309" s="282" t="s">
        <v>550</v>
      </c>
      <c r="S309" s="283">
        <f>+insumos!$H$121</f>
        <v>0.0445</v>
      </c>
      <c r="T309" s="245"/>
    </row>
    <row r="310" spans="2:30" x14ac:dyDescent="0.25">
      <c r="B310" s="281">
        <v>6229</v>
      </c>
      <c r="C310" s="30" t="s">
        <v>588</v>
      </c>
      <c r="D310" s="283">
        <f>insumos!$I$265*16</f>
        <v>0.3443402664323933</v>
      </c>
      <c r="E310" s="300" t="s">
        <v>580</v>
      </c>
      <c r="F310" s="291"/>
      <c r="L310" s="263">
        <v>436616</v>
      </c>
      <c r="M310" s="264" t="s">
        <v>876</v>
      </c>
      <c r="N310" s="265"/>
      <c r="O310" s="245"/>
      <c r="Q310" s="292"/>
      <c r="R310" s="279" t="s">
        <v>553</v>
      </c>
      <c r="S310" s="293"/>
      <c r="T310" s="245"/>
      <c r="AA310" s="263">
        <v>991206</v>
      </c>
      <c r="AB310" s="264" t="s">
        <v>877</v>
      </c>
      <c r="AC310" s="267"/>
      <c r="AD310" s="245"/>
    </row>
    <row r="311" spans="2:30" x14ac:dyDescent="0.25">
      <c r="B311" s="281">
        <v>6254</v>
      </c>
      <c r="C311" s="30" t="s">
        <v>600</v>
      </c>
      <c r="D311" s="283">
        <f>+insumos!$I$208*16</f>
        <v>0.7113191978268528</v>
      </c>
      <c r="E311" s="300" t="s">
        <v>580</v>
      </c>
      <c r="F311" s="291"/>
      <c r="K311" s="245"/>
      <c r="L311" s="275" t="s">
        <v>492</v>
      </c>
      <c r="M311" s="277" t="s">
        <v>495</v>
      </c>
      <c r="N311" s="275" t="s">
        <v>467</v>
      </c>
      <c r="O311" s="245"/>
      <c r="Q311" s="26"/>
      <c r="R311" s="30"/>
      <c r="S311" s="283"/>
      <c r="T311" s="1"/>
      <c r="AA311" s="275" t="s">
        <v>492</v>
      </c>
      <c r="AB311" s="276" t="s">
        <v>495</v>
      </c>
      <c r="AC311" s="275" t="s">
        <v>467</v>
      </c>
      <c r="AD311" s="245"/>
    </row>
    <row r="312" spans="2:30" x14ac:dyDescent="0.25">
      <c r="B312" s="281">
        <v>5868</v>
      </c>
      <c r="C312" s="30" t="s">
        <v>605</v>
      </c>
      <c r="D312" s="283">
        <f>insumos!$I$243*16</f>
        <v>0.30336</v>
      </c>
      <c r="E312" s="300" t="s">
        <v>580</v>
      </c>
      <c r="F312" s="291"/>
      <c r="K312" s="245"/>
      <c r="L312" s="278"/>
      <c r="M312" s="280" t="s">
        <v>134</v>
      </c>
      <c r="N312" s="278"/>
      <c r="O312" s="245"/>
      <c r="Q312" s="297"/>
      <c r="R312" s="298" t="s">
        <v>5</v>
      </c>
      <c r="S312" s="299">
        <f>SUM(S304:S311)</f>
        <v>1.3723890898260136</v>
      </c>
      <c r="T312" s="245"/>
      <c r="AA312" s="278"/>
      <c r="AB312" s="279" t="s">
        <v>134</v>
      </c>
      <c r="AC312" s="278"/>
      <c r="AD312" s="245"/>
    </row>
    <row r="313" spans="2:30" x14ac:dyDescent="0.25">
      <c r="B313" s="297"/>
      <c r="C313" s="298" t="s">
        <v>5</v>
      </c>
      <c r="D313" s="299">
        <f>SUM(D300:D312)</f>
        <v>5.922571477674789</v>
      </c>
      <c r="F313" s="245"/>
      <c r="K313" s="245"/>
      <c r="L313" s="281">
        <v>5524</v>
      </c>
      <c r="M313" s="1" t="s">
        <v>501</v>
      </c>
      <c r="N313" s="283">
        <f>insumos!$H$217</f>
        <v>0.8950000000000001</v>
      </c>
      <c r="O313" s="285"/>
      <c r="Q313" s="281"/>
      <c r="R313" s="282" t="s">
        <v>587</v>
      </c>
      <c r="S313" s="304">
        <f>58416.34/3472</f>
        <v>16.82498271889401</v>
      </c>
      <c r="T313" s="245"/>
      <c r="AA313" s="281">
        <v>6184</v>
      </c>
      <c r="AB313" s="1" t="s">
        <v>502</v>
      </c>
      <c r="AC313" s="283">
        <f>insumos!$H$215</f>
        <v>0.6</v>
      </c>
      <c r="AD313" s="245"/>
    </row>
    <row r="314" spans="2:30" x14ac:dyDescent="0.25">
      <c r="B314" s="281"/>
      <c r="C314" s="282" t="s">
        <v>587</v>
      </c>
      <c r="D314" s="304">
        <f>3136.19/298</f>
        <v>10.524127516778524</v>
      </c>
      <c r="F314" s="245"/>
      <c r="K314" s="285"/>
      <c r="L314" s="26" t="s">
        <v>513</v>
      </c>
      <c r="M314" s="30" t="s">
        <v>514</v>
      </c>
      <c r="N314" s="283">
        <f>+insumos!$H$266</f>
        <v>1.1500000000000001</v>
      </c>
      <c r="O314" s="285"/>
      <c r="Q314" s="281"/>
      <c r="R314" s="307" t="s">
        <v>599</v>
      </c>
      <c r="S314" s="308">
        <f>+S312/S313</f>
        <v>0.08156852894029169</v>
      </c>
      <c r="T314" s="245"/>
      <c r="AA314" s="281">
        <v>2037</v>
      </c>
      <c r="AB314" s="282" t="s">
        <v>511</v>
      </c>
      <c r="AC314" s="283">
        <f>+insumos!$H$268</f>
        <v>0.65</v>
      </c>
      <c r="AD314" s="245"/>
    </row>
    <row r="315" spans="2:30" x14ac:dyDescent="0.25">
      <c r="B315" s="281"/>
      <c r="C315" s="307" t="s">
        <v>599</v>
      </c>
      <c r="D315" s="308">
        <f>+D313/D314</f>
        <v>0.5627612805177897</v>
      </c>
      <c r="E315" s="269"/>
      <c r="F315" s="245"/>
      <c r="K315" s="285"/>
      <c r="L315" s="281">
        <v>4541</v>
      </c>
      <c r="M315" s="282" t="s">
        <v>528</v>
      </c>
      <c r="N315" s="283">
        <f>insumos!$H$43</f>
        <v>0.022058823529411766</v>
      </c>
      <c r="O315" s="285"/>
      <c r="Q315" s="311"/>
      <c r="R315" s="307" t="s">
        <v>604</v>
      </c>
      <c r="S315" s="308">
        <f>S314*1.03</f>
        <v>0.08401558480850045</v>
      </c>
      <c r="AA315" s="281">
        <v>4542</v>
      </c>
      <c r="AB315" s="282" t="s">
        <v>527</v>
      </c>
      <c r="AC315" s="283">
        <f>insumos!$I$35</f>
        <v>0.022058823529411763</v>
      </c>
      <c r="AD315" s="245"/>
    </row>
    <row r="316" spans="2:30" x14ac:dyDescent="0.25">
      <c r="B316" s="311"/>
      <c r="C316" s="307" t="s">
        <v>604</v>
      </c>
      <c r="D316" s="308">
        <f>D315*1.03</f>
        <v>0.5796441189333235</v>
      </c>
      <c r="E316" s="269"/>
      <c r="F316" s="245"/>
      <c r="K316" s="285"/>
      <c r="L316" s="26">
        <v>3817</v>
      </c>
      <c r="M316" s="288" t="s">
        <v>524</v>
      </c>
      <c r="N316" s="289">
        <f>insumos!$I$103*1.8</f>
        <v>0.02088</v>
      </c>
      <c r="O316" s="290" t="s">
        <v>537</v>
      </c>
      <c r="AA316" s="26">
        <v>3817</v>
      </c>
      <c r="AB316" s="243" t="s">
        <v>524</v>
      </c>
      <c r="AC316" s="289">
        <f>insumos!$I$103*1.8</f>
        <v>0.02088</v>
      </c>
      <c r="AD316" s="285" t="s">
        <v>538</v>
      </c>
    </row>
    <row r="317" spans="2:30" x14ac:dyDescent="0.25">
      <c r="B317" s="245"/>
      <c r="C317" s="245"/>
      <c r="D317" s="245"/>
      <c r="E317" s="269"/>
      <c r="K317" s="290"/>
      <c r="L317" s="26">
        <v>2173</v>
      </c>
      <c r="M317" s="288" t="s">
        <v>536</v>
      </c>
      <c r="N317" s="289">
        <f>+insumos!$H$149*2</f>
        <v>0.0349502662966019</v>
      </c>
      <c r="O317" s="291" t="s">
        <v>547</v>
      </c>
      <c r="Q317" s="263">
        <v>998436</v>
      </c>
      <c r="R317" s="264" t="s">
        <v>878</v>
      </c>
      <c r="S317" s="267"/>
      <c r="T317" s="245"/>
      <c r="AA317" s="26">
        <v>2173</v>
      </c>
      <c r="AB317" s="243" t="s">
        <v>536</v>
      </c>
      <c r="AC317" s="289">
        <f>+insumos!$H$149*2</f>
        <v>0.0349502662966019</v>
      </c>
      <c r="AD317" s="1" t="s">
        <v>547</v>
      </c>
    </row>
    <row r="318" spans="2:30" x14ac:dyDescent="0.25">
      <c r="B318" s="263">
        <v>439932</v>
      </c>
      <c r="C318" s="328" t="s">
        <v>879</v>
      </c>
      <c r="D318" s="329"/>
      <c r="E318" s="245"/>
      <c r="F318" s="245"/>
      <c r="K318" s="291"/>
      <c r="L318" s="281">
        <v>3636</v>
      </c>
      <c r="M318" s="286" t="s">
        <v>550</v>
      </c>
      <c r="N318" s="283">
        <f>+insumos!$H$121</f>
        <v>0.0445</v>
      </c>
      <c r="O318" s="285"/>
      <c r="Q318" s="275" t="s">
        <v>492</v>
      </c>
      <c r="R318" s="276" t="s">
        <v>495</v>
      </c>
      <c r="S318" s="275" t="s">
        <v>467</v>
      </c>
      <c r="T318" s="245"/>
      <c r="AA318" s="281">
        <v>3636</v>
      </c>
      <c r="AB318" s="282" t="s">
        <v>550</v>
      </c>
      <c r="AC318" s="283">
        <f>+insumos!$H$121</f>
        <v>0.0445</v>
      </c>
      <c r="AD318" s="245"/>
    </row>
    <row r="319" spans="2:30" x14ac:dyDescent="0.25">
      <c r="B319" s="275" t="s">
        <v>492</v>
      </c>
      <c r="C319" s="276" t="s">
        <v>495</v>
      </c>
      <c r="D319" s="275" t="s">
        <v>467</v>
      </c>
      <c r="E319" s="245"/>
      <c r="F319" s="245"/>
      <c r="K319" s="285"/>
      <c r="L319" s="292"/>
      <c r="M319" s="280" t="s">
        <v>553</v>
      </c>
      <c r="N319" s="293"/>
      <c r="O319" s="285"/>
      <c r="Q319" s="278"/>
      <c r="R319" s="279" t="s">
        <v>134</v>
      </c>
      <c r="S319" s="278"/>
      <c r="T319" s="245"/>
      <c r="AA319" s="292"/>
      <c r="AB319" s="279" t="s">
        <v>553</v>
      </c>
      <c r="AC319" s="293"/>
      <c r="AD319" s="245"/>
    </row>
    <row r="320" spans="2:30" x14ac:dyDescent="0.25">
      <c r="B320" s="278"/>
      <c r="C320" s="279" t="s">
        <v>134</v>
      </c>
      <c r="D320" s="278"/>
      <c r="E320" s="269"/>
      <c r="F320" s="245"/>
      <c r="K320" s="285"/>
      <c r="L320" s="26" t="s">
        <v>735</v>
      </c>
      <c r="M320" s="1" t="s">
        <v>736</v>
      </c>
      <c r="N320" s="283">
        <f>insumos!$H$63*10</f>
        <v>0.68</v>
      </c>
      <c r="O320" s="291" t="s">
        <v>563</v>
      </c>
      <c r="Q320" s="281">
        <v>6184</v>
      </c>
      <c r="R320" s="1" t="s">
        <v>502</v>
      </c>
      <c r="S320" s="283">
        <f>insumos!$H$215</f>
        <v>0.6</v>
      </c>
      <c r="T320" s="245"/>
      <c r="AA320" s="26" t="s">
        <v>650</v>
      </c>
      <c r="AB320" s="30" t="s">
        <v>651</v>
      </c>
      <c r="AC320" s="283">
        <f>insumos!$H$75*5</f>
        <v>0.9750000000000001</v>
      </c>
      <c r="AD320" s="1" t="s">
        <v>652</v>
      </c>
    </row>
    <row r="321" spans="2:30" x14ac:dyDescent="0.25">
      <c r="B321" s="281">
        <v>3741</v>
      </c>
      <c r="C321" s="282" t="s">
        <v>500</v>
      </c>
      <c r="D321" s="283">
        <f>insumos!$G$213</f>
        <v>0.8355871886120997</v>
      </c>
      <c r="E321" s="269"/>
      <c r="F321" s="285"/>
      <c r="K321" s="291"/>
      <c r="L321" s="26" t="s">
        <v>566</v>
      </c>
      <c r="M321" s="30" t="s">
        <v>567</v>
      </c>
      <c r="N321" s="283">
        <f>insumos!$H$113*10</f>
        <v>0.2700945386217145</v>
      </c>
      <c r="O321" s="291" t="s">
        <v>563</v>
      </c>
      <c r="Q321" s="281">
        <v>2037</v>
      </c>
      <c r="R321" s="282" t="s">
        <v>511</v>
      </c>
      <c r="S321" s="283">
        <f>+insumos!$H$268</f>
        <v>0.65</v>
      </c>
      <c r="T321" s="245"/>
      <c r="AA321" s="26" t="s">
        <v>574</v>
      </c>
      <c r="AB321" s="1" t="s">
        <v>575</v>
      </c>
      <c r="AC321" s="283">
        <f>insumos!$H$120*5</f>
        <v>0.0995</v>
      </c>
      <c r="AD321" s="1" t="s">
        <v>652</v>
      </c>
    </row>
    <row r="322" spans="2:30" x14ac:dyDescent="0.25">
      <c r="B322" s="281">
        <v>3759</v>
      </c>
      <c r="C322" s="1" t="s">
        <v>507</v>
      </c>
      <c r="D322" s="283">
        <f>+insumos!$G$284</f>
        <v>1.1352416613292604</v>
      </c>
      <c r="E322" s="269"/>
      <c r="F322" s="285"/>
      <c r="K322" s="291"/>
      <c r="L322" s="297"/>
      <c r="M322" s="303" t="s">
        <v>5</v>
      </c>
      <c r="N322" s="299">
        <f>SUM(N313:N321)</f>
        <v>3.117483628447729</v>
      </c>
      <c r="O322" s="245"/>
      <c r="Q322" s="281">
        <v>4542</v>
      </c>
      <c r="R322" s="282" t="s">
        <v>527</v>
      </c>
      <c r="S322" s="283">
        <f>insumos!$I$35</f>
        <v>0.022058823529411763</v>
      </c>
      <c r="AA322" s="297"/>
      <c r="AB322" s="298" t="s">
        <v>5</v>
      </c>
      <c r="AC322" s="299">
        <f>SUM(AC313:AC321)</f>
        <v>2.446889089826014</v>
      </c>
      <c r="AD322" s="245"/>
    </row>
    <row r="323" spans="2:30" x14ac:dyDescent="0.25">
      <c r="B323" s="281">
        <v>4653</v>
      </c>
      <c r="C323" s="282" t="s">
        <v>525</v>
      </c>
      <c r="D323" s="283">
        <f>insumos!$H$254*2</f>
        <v>0.37281192211465247</v>
      </c>
      <c r="E323" s="284" t="s">
        <v>532</v>
      </c>
      <c r="F323" s="285"/>
      <c r="K323" s="245"/>
      <c r="L323" s="281"/>
      <c r="M323" s="286" t="s">
        <v>587</v>
      </c>
      <c r="N323" s="304">
        <f>7134.51/506</f>
        <v>14.099822134387352</v>
      </c>
      <c r="O323" s="245"/>
      <c r="Q323" s="26">
        <v>3817</v>
      </c>
      <c r="R323" s="243" t="s">
        <v>524</v>
      </c>
      <c r="S323" s="289">
        <f>insumos!$I$103*1.8</f>
        <v>0.02088</v>
      </c>
      <c r="T323" s="285" t="s">
        <v>538</v>
      </c>
      <c r="AA323" s="281"/>
      <c r="AB323" s="282" t="s">
        <v>587</v>
      </c>
      <c r="AC323" s="304">
        <f>85321.73/4133</f>
        <v>20.644018872489717</v>
      </c>
      <c r="AD323" s="245"/>
    </row>
    <row r="324" spans="2:30" x14ac:dyDescent="0.25">
      <c r="B324" s="281">
        <v>4541</v>
      </c>
      <c r="C324" s="282" t="s">
        <v>528</v>
      </c>
      <c r="D324" s="283">
        <f>insumos!$H$43</f>
        <v>0.022058823529411766</v>
      </c>
      <c r="E324" s="284"/>
      <c r="F324" s="285"/>
      <c r="K324" s="245"/>
      <c r="L324" s="281"/>
      <c r="M324" s="310" t="s">
        <v>599</v>
      </c>
      <c r="N324" s="308">
        <f>+N322/N323</f>
        <v>0.22110091877291513</v>
      </c>
      <c r="O324" s="245"/>
      <c r="Q324" s="26">
        <v>2173</v>
      </c>
      <c r="R324" s="243" t="s">
        <v>536</v>
      </c>
      <c r="S324" s="289">
        <f>+insumos!$H$149*2</f>
        <v>0.0349502662966019</v>
      </c>
      <c r="T324" s="1" t="s">
        <v>547</v>
      </c>
      <c r="AA324" s="281"/>
      <c r="AB324" s="307" t="s">
        <v>599</v>
      </c>
      <c r="AC324" s="308">
        <f>+AC322/AC323</f>
        <v>0.11852774912382713</v>
      </c>
      <c r="AD324" s="245"/>
    </row>
    <row r="325" spans="2:30" x14ac:dyDescent="0.25">
      <c r="B325" s="26">
        <v>3817</v>
      </c>
      <c r="C325" s="243" t="s">
        <v>524</v>
      </c>
      <c r="D325" s="289">
        <f>insumos!$I$103*1.8</f>
        <v>0.02088</v>
      </c>
      <c r="E325" s="290" t="s">
        <v>537</v>
      </c>
      <c r="F325" s="290"/>
      <c r="K325" s="245"/>
      <c r="L325" s="311"/>
      <c r="M325" s="310" t="s">
        <v>604</v>
      </c>
      <c r="N325" s="308">
        <f>N324*1.03</f>
        <v>0.22773394633610258</v>
      </c>
      <c r="O325" s="245"/>
      <c r="Q325" s="281">
        <v>3636</v>
      </c>
      <c r="R325" s="282" t="s">
        <v>550</v>
      </c>
      <c r="S325" s="283">
        <f>+insumos!$H$121</f>
        <v>0.0445</v>
      </c>
      <c r="T325" s="245"/>
      <c r="AA325" s="311"/>
      <c r="AB325" s="307" t="s">
        <v>604</v>
      </c>
      <c r="AC325" s="308">
        <f>AC324*1.03</f>
        <v>0.12208358159754194</v>
      </c>
      <c r="AD325" s="245"/>
    </row>
    <row r="326" spans="2:20" x14ac:dyDescent="0.25">
      <c r="B326" s="26">
        <v>2173</v>
      </c>
      <c r="C326" s="243" t="s">
        <v>536</v>
      </c>
      <c r="D326" s="289">
        <f>+insumos!$H$149*2</f>
        <v>0.0349502662966019</v>
      </c>
      <c r="E326" s="291" t="s">
        <v>547</v>
      </c>
      <c r="F326" s="291"/>
      <c r="K326" s="245"/>
      <c r="Q326" s="292"/>
      <c r="R326" s="279" t="s">
        <v>553</v>
      </c>
      <c r="S326" s="293"/>
      <c r="T326" s="245"/>
    </row>
    <row r="327" spans="2:30" x14ac:dyDescent="0.25">
      <c r="B327" s="281">
        <v>3636</v>
      </c>
      <c r="C327" s="282" t="s">
        <v>550</v>
      </c>
      <c r="D327" s="283">
        <f>+insumos!$H$121</f>
        <v>0.0445</v>
      </c>
      <c r="F327" s="285"/>
      <c r="L327" s="263">
        <v>436623</v>
      </c>
      <c r="M327" s="264" t="s">
        <v>732</v>
      </c>
      <c r="N327" s="265">
        <v>420</v>
      </c>
      <c r="O327" s="266">
        <f>N327/E2</f>
        <v>10.432190760059614</v>
      </c>
      <c r="Q327" s="26"/>
      <c r="R327" s="30"/>
      <c r="S327" s="283"/>
      <c r="T327" s="1"/>
      <c r="AA327" s="263">
        <v>991213</v>
      </c>
      <c r="AB327" s="264" t="s">
        <v>880</v>
      </c>
      <c r="AC327" s="267"/>
      <c r="AD327" s="245"/>
    </row>
    <row r="328" spans="2:30" x14ac:dyDescent="0.25">
      <c r="B328" s="292"/>
      <c r="C328" s="279" t="s">
        <v>553</v>
      </c>
      <c r="D328" s="293"/>
      <c r="F328" s="285"/>
      <c r="L328" s="275" t="s">
        <v>492</v>
      </c>
      <c r="M328" s="277" t="s">
        <v>495</v>
      </c>
      <c r="N328" s="275" t="s">
        <v>467</v>
      </c>
      <c r="O328" s="245"/>
      <c r="Q328" s="297"/>
      <c r="R328" s="298" t="s">
        <v>5</v>
      </c>
      <c r="S328" s="299">
        <f>SUM(S320:S327)</f>
        <v>1.3723890898260136</v>
      </c>
      <c r="T328" s="245"/>
      <c r="AA328" s="275" t="s">
        <v>492</v>
      </c>
      <c r="AB328" s="276" t="s">
        <v>495</v>
      </c>
      <c r="AC328" s="275" t="s">
        <v>467</v>
      </c>
      <c r="AD328" s="245"/>
    </row>
    <row r="329" spans="2:30" x14ac:dyDescent="0.25">
      <c r="B329" s="26" t="s">
        <v>881</v>
      </c>
      <c r="C329" s="30" t="s">
        <v>882</v>
      </c>
      <c r="D329" s="283">
        <f>insumos!H188*12</f>
        <v>1.0929882352941176</v>
      </c>
      <c r="E329" s="300" t="s">
        <v>568</v>
      </c>
      <c r="F329" s="291"/>
      <c r="L329" s="278"/>
      <c r="M329" s="280" t="s">
        <v>134</v>
      </c>
      <c r="N329" s="278"/>
      <c r="O329" s="245"/>
      <c r="Q329" s="281"/>
      <c r="R329" s="282" t="s">
        <v>587</v>
      </c>
      <c r="S329" s="304">
        <f>58416.34/3472</f>
        <v>16.82498271889401</v>
      </c>
      <c r="T329" s="245"/>
      <c r="AA329" s="278"/>
      <c r="AB329" s="279" t="s">
        <v>134</v>
      </c>
      <c r="AC329" s="278"/>
      <c r="AD329" s="245"/>
    </row>
    <row r="330" spans="2:30" x14ac:dyDescent="0.25">
      <c r="B330" s="281">
        <v>5202</v>
      </c>
      <c r="C330" s="282" t="s">
        <v>586</v>
      </c>
      <c r="D330" s="283">
        <f>insumos!$H$114*12</f>
        <v>0.3161371428571429</v>
      </c>
      <c r="E330" s="300" t="s">
        <v>568</v>
      </c>
      <c r="F330" s="291"/>
      <c r="L330" s="281">
        <v>5524</v>
      </c>
      <c r="M330" s="1" t="s">
        <v>501</v>
      </c>
      <c r="N330" s="283">
        <f>insumos!$H$217</f>
        <v>0.8950000000000001</v>
      </c>
      <c r="O330" s="285"/>
      <c r="Q330" s="281"/>
      <c r="R330" s="307" t="s">
        <v>599</v>
      </c>
      <c r="S330" s="308">
        <f>+S328/S329</f>
        <v>0.08156852894029169</v>
      </c>
      <c r="T330" s="245"/>
      <c r="AA330" s="281">
        <v>6184</v>
      </c>
      <c r="AB330" s="1" t="s">
        <v>502</v>
      </c>
      <c r="AC330" s="283">
        <f>insumos!$H$215</f>
        <v>0.6</v>
      </c>
      <c r="AD330" s="245"/>
    </row>
    <row r="331" spans="2:30" x14ac:dyDescent="0.25">
      <c r="B331" s="281">
        <v>6229</v>
      </c>
      <c r="C331" s="30" t="s">
        <v>588</v>
      </c>
      <c r="D331" s="283">
        <f>insumos!$I$265*12</f>
        <v>0.25825519982429496</v>
      </c>
      <c r="E331" s="300" t="s">
        <v>568</v>
      </c>
      <c r="F331" s="291"/>
      <c r="L331" s="26" t="s">
        <v>513</v>
      </c>
      <c r="M331" s="30" t="s">
        <v>514</v>
      </c>
      <c r="N331" s="283">
        <f>+insumos!$H$266</f>
        <v>1.1500000000000001</v>
      </c>
      <c r="O331" s="285"/>
      <c r="Q331" s="311"/>
      <c r="R331" s="307" t="s">
        <v>604</v>
      </c>
      <c r="S331" s="308">
        <f>S330*1.03</f>
        <v>0.08401558480850045</v>
      </c>
      <c r="AA331" s="281">
        <v>2037</v>
      </c>
      <c r="AB331" s="282" t="s">
        <v>511</v>
      </c>
      <c r="AC331" s="283">
        <f>+insumos!$H$268</f>
        <v>0.65</v>
      </c>
      <c r="AD331" s="245"/>
    </row>
    <row r="332" spans="2:30" x14ac:dyDescent="0.25">
      <c r="B332" s="281">
        <v>6254</v>
      </c>
      <c r="C332" s="30" t="s">
        <v>600</v>
      </c>
      <c r="D332" s="283">
        <f>+insumos!$I$208*12</f>
        <v>0.5334893983701396</v>
      </c>
      <c r="E332" s="300" t="s">
        <v>568</v>
      </c>
      <c r="F332" s="291"/>
      <c r="L332" s="281">
        <v>4542</v>
      </c>
      <c r="M332" s="286" t="s">
        <v>527</v>
      </c>
      <c r="N332" s="283">
        <f>insumos!$I$35</f>
        <v>0.022058823529411763</v>
      </c>
      <c r="O332" s="285"/>
      <c r="AA332" s="281">
        <v>4542</v>
      </c>
      <c r="AB332" s="282" t="s">
        <v>527</v>
      </c>
      <c r="AC332" s="283">
        <f>insumos!$I$35</f>
        <v>0.022058823529411763</v>
      </c>
      <c r="AD332" s="245"/>
    </row>
    <row r="333" spans="2:30" x14ac:dyDescent="0.25">
      <c r="B333" s="281">
        <v>5868</v>
      </c>
      <c r="C333" s="30" t="s">
        <v>605</v>
      </c>
      <c r="D333" s="283">
        <f>insumos!$I$243*12</f>
        <v>0.22752</v>
      </c>
      <c r="E333" s="300" t="s">
        <v>568</v>
      </c>
      <c r="F333" s="291"/>
      <c r="L333" s="26">
        <v>3817</v>
      </c>
      <c r="M333" s="288" t="s">
        <v>524</v>
      </c>
      <c r="N333" s="289">
        <f>insumos!$I$103*1.8</f>
        <v>0.02088</v>
      </c>
      <c r="O333" s="290" t="s">
        <v>537</v>
      </c>
      <c r="AA333" s="26">
        <v>3817</v>
      </c>
      <c r="AB333" s="243" t="s">
        <v>524</v>
      </c>
      <c r="AC333" s="289">
        <f>insumos!$I$103*1.8</f>
        <v>0.02088</v>
      </c>
      <c r="AD333" s="285" t="s">
        <v>538</v>
      </c>
    </row>
    <row r="334" spans="2:30" x14ac:dyDescent="0.25">
      <c r="B334" s="297"/>
      <c r="C334" s="298" t="s">
        <v>5</v>
      </c>
      <c r="D334" s="299">
        <f>SUM(D321:D333)</f>
        <v>4.894419838227722</v>
      </c>
      <c r="F334" s="245"/>
      <c r="L334" s="26">
        <v>2173</v>
      </c>
      <c r="M334" s="288" t="s">
        <v>536</v>
      </c>
      <c r="N334" s="289">
        <f>+insumos!$H$149*2</f>
        <v>0.0349502662966019</v>
      </c>
      <c r="O334" s="291" t="s">
        <v>547</v>
      </c>
      <c r="AA334" s="26">
        <v>2173</v>
      </c>
      <c r="AB334" s="243" t="s">
        <v>536</v>
      </c>
      <c r="AC334" s="289">
        <f>+insumos!$H$149*2</f>
        <v>0.0349502662966019</v>
      </c>
      <c r="AD334" s="1" t="s">
        <v>547</v>
      </c>
    </row>
    <row r="335" spans="2:30" x14ac:dyDescent="0.25">
      <c r="B335" s="281"/>
      <c r="C335" s="282" t="s">
        <v>587</v>
      </c>
      <c r="D335" s="304">
        <f>8825.55/915</f>
        <v>9.645409836065573</v>
      </c>
      <c r="F335" s="245"/>
      <c r="L335" s="281">
        <v>3636</v>
      </c>
      <c r="M335" s="286" t="s">
        <v>550</v>
      </c>
      <c r="N335" s="283">
        <f>+insumos!$H$121</f>
        <v>0.0445</v>
      </c>
      <c r="O335" s="285"/>
      <c r="AA335" s="281">
        <v>3636</v>
      </c>
      <c r="AB335" s="282" t="s">
        <v>550</v>
      </c>
      <c r="AC335" s="283">
        <f>+insumos!$H$121</f>
        <v>0.0445</v>
      </c>
      <c r="AD335" s="245"/>
    </row>
    <row r="336" spans="2:30" x14ac:dyDescent="0.25">
      <c r="B336" s="281"/>
      <c r="C336" s="307" t="s">
        <v>599</v>
      </c>
      <c r="D336" s="308">
        <f>+D334/D335</f>
        <v>0.5074351345783964</v>
      </c>
      <c r="E336" s="269"/>
      <c r="F336" s="245"/>
      <c r="L336" s="292"/>
      <c r="M336" s="280" t="s">
        <v>553</v>
      </c>
      <c r="N336" s="293"/>
      <c r="O336" s="285"/>
      <c r="AA336" s="292"/>
      <c r="AB336" s="279" t="s">
        <v>553</v>
      </c>
      <c r="AC336" s="293"/>
      <c r="AD336" s="245"/>
    </row>
    <row r="337" spans="2:30" x14ac:dyDescent="0.25">
      <c r="B337" s="311"/>
      <c r="C337" s="307" t="s">
        <v>604</v>
      </c>
      <c r="D337" s="308">
        <f>D336*1.03</f>
        <v>0.5226581886157483</v>
      </c>
      <c r="E337" s="269"/>
      <c r="F337" s="245"/>
      <c r="L337" s="26" t="s">
        <v>739</v>
      </c>
      <c r="M337" s="1" t="s">
        <v>740</v>
      </c>
      <c r="N337" s="283">
        <f>insumos!$H$96*5</f>
        <v>0.9850000000000001</v>
      </c>
      <c r="O337" s="291" t="s">
        <v>652</v>
      </c>
      <c r="AA337" s="26" t="s">
        <v>653</v>
      </c>
      <c r="AB337" s="30" t="s">
        <v>654</v>
      </c>
      <c r="AC337" s="283">
        <f>insumos!$H$224*11</f>
        <v>1.1</v>
      </c>
      <c r="AD337" s="1" t="s">
        <v>802</v>
      </c>
    </row>
    <row r="338" spans="2:30" x14ac:dyDescent="0.25">
      <c r="B338" s="245"/>
      <c r="C338" s="245"/>
      <c r="D338" s="245"/>
      <c r="E338" s="269"/>
      <c r="L338" s="26" t="s">
        <v>566</v>
      </c>
      <c r="M338" s="30" t="s">
        <v>567</v>
      </c>
      <c r="N338" s="283">
        <f>insumos!$H$113*5</f>
        <v>0.13504726931085725</v>
      </c>
      <c r="O338" s="291" t="s">
        <v>652</v>
      </c>
      <c r="AA338" s="26" t="s">
        <v>574</v>
      </c>
      <c r="AB338" s="1" t="s">
        <v>575</v>
      </c>
      <c r="AC338" s="283">
        <f>insumos!$H$120*11</f>
        <v>0.2189</v>
      </c>
      <c r="AD338" s="1" t="s">
        <v>802</v>
      </c>
    </row>
    <row r="339" spans="2:30" x14ac:dyDescent="0.25">
      <c r="B339" s="259">
        <v>438799</v>
      </c>
      <c r="C339" s="260" t="s">
        <v>883</v>
      </c>
      <c r="D339" s="259">
        <v>600</v>
      </c>
      <c r="E339" s="272">
        <f>D339/E2</f>
        <v>14.90312965722802</v>
      </c>
      <c r="L339" s="297"/>
      <c r="M339" s="303" t="s">
        <v>5</v>
      </c>
      <c r="N339" s="299">
        <f>SUM(N330:N338)</f>
        <v>3.287436359136872</v>
      </c>
      <c r="O339" s="245"/>
      <c r="AA339" s="297"/>
      <c r="AB339" s="298" t="s">
        <v>5</v>
      </c>
      <c r="AC339" s="299">
        <f>SUM(AC330:AC338)</f>
        <v>2.691289089826014</v>
      </c>
      <c r="AD339" s="245"/>
    </row>
    <row r="340" spans="2:30" x14ac:dyDescent="0.25">
      <c r="B340" s="275" t="s">
        <v>492</v>
      </c>
      <c r="C340" s="276" t="s">
        <v>495</v>
      </c>
      <c r="D340" s="275" t="s">
        <v>467</v>
      </c>
      <c r="E340" s="245"/>
      <c r="L340" s="281"/>
      <c r="M340" s="286" t="s">
        <v>587</v>
      </c>
      <c r="N340" s="304">
        <f>9770.74/503</f>
        <v>19.42493041749503</v>
      </c>
      <c r="O340" s="245"/>
      <c r="AA340" s="281"/>
      <c r="AB340" s="282" t="s">
        <v>587</v>
      </c>
      <c r="AC340" s="304">
        <f>56244.93/2665</f>
        <v>21.105039399624765</v>
      </c>
      <c r="AD340" s="245"/>
    </row>
    <row r="341" spans="2:30" x14ac:dyDescent="0.25">
      <c r="B341" s="278"/>
      <c r="C341" s="279" t="s">
        <v>134</v>
      </c>
      <c r="D341" s="278"/>
      <c r="E341" s="245"/>
      <c r="L341" s="281"/>
      <c r="M341" s="310" t="s">
        <v>599</v>
      </c>
      <c r="N341" s="308">
        <f>+N339/N340</f>
        <v>0.16923799923504734</v>
      </c>
      <c r="O341" s="245"/>
      <c r="AA341" s="281"/>
      <c r="AB341" s="307" t="s">
        <v>599</v>
      </c>
      <c r="AC341" s="308">
        <f>+AC339/AC340</f>
        <v>0.1275187901271515</v>
      </c>
      <c r="AD341" s="245"/>
    </row>
    <row r="342" spans="2:30" x14ac:dyDescent="0.25">
      <c r="B342" s="281">
        <v>3741</v>
      </c>
      <c r="C342" s="282" t="s">
        <v>500</v>
      </c>
      <c r="D342" s="31">
        <f>insumos!$G$213</f>
        <v>0.8355871886120997</v>
      </c>
      <c r="E342" s="245"/>
      <c r="L342" s="311"/>
      <c r="M342" s="310" t="s">
        <v>604</v>
      </c>
      <c r="N342" s="308">
        <f>N341*1.03</f>
        <v>0.17431513921209876</v>
      </c>
      <c r="O342" s="245"/>
      <c r="AA342" s="311"/>
      <c r="AB342" s="307" t="s">
        <v>604</v>
      </c>
      <c r="AC342" s="308">
        <f>AC341*1.03</f>
        <v>0.13134435383096604</v>
      </c>
      <c r="AD342" s="245"/>
    </row>
    <row r="343" spans="2:5" x14ac:dyDescent="0.25">
      <c r="B343" s="281">
        <v>3759</v>
      </c>
      <c r="C343" s="1" t="s">
        <v>507</v>
      </c>
      <c r="D343" s="31">
        <f>+insumos!$G$284</f>
        <v>1.1352416613292604</v>
      </c>
      <c r="E343" s="245"/>
    </row>
    <row r="344" spans="2:30" x14ac:dyDescent="0.25">
      <c r="B344" s="281">
        <v>4653</v>
      </c>
      <c r="C344" s="282" t="s">
        <v>525</v>
      </c>
      <c r="D344" s="283">
        <f>insumos!$H$254*3</f>
        <v>0.5592178831719787</v>
      </c>
      <c r="E344" s="284" t="s">
        <v>526</v>
      </c>
      <c r="L344" s="263">
        <v>436629</v>
      </c>
      <c r="M344" s="264" t="s">
        <v>884</v>
      </c>
      <c r="N344" s="265">
        <v>480</v>
      </c>
      <c r="O344" s="266">
        <f>N344/E2</f>
        <v>11.922503725782414</v>
      </c>
      <c r="AA344" s="263">
        <v>991260</v>
      </c>
      <c r="AB344" s="264" t="s">
        <v>885</v>
      </c>
      <c r="AC344" s="267"/>
      <c r="AD344" s="245"/>
    </row>
    <row r="345" spans="2:30" x14ac:dyDescent="0.25">
      <c r="B345" s="281">
        <v>4541</v>
      </c>
      <c r="C345" s="282" t="s">
        <v>529</v>
      </c>
      <c r="D345" s="283">
        <f>insumos!$H$43</f>
        <v>0.022058823529411766</v>
      </c>
      <c r="E345" s="245"/>
      <c r="L345" s="275" t="s">
        <v>492</v>
      </c>
      <c r="M345" s="277" t="s">
        <v>495</v>
      </c>
      <c r="N345" s="275" t="s">
        <v>467</v>
      </c>
      <c r="O345" s="245"/>
      <c r="AA345" s="275" t="s">
        <v>492</v>
      </c>
      <c r="AB345" s="276" t="s">
        <v>495</v>
      </c>
      <c r="AC345" s="275" t="s">
        <v>467</v>
      </c>
      <c r="AD345" s="245"/>
    </row>
    <row r="346" spans="2:30" x14ac:dyDescent="0.25">
      <c r="B346" s="26">
        <v>3817</v>
      </c>
      <c r="C346" s="243" t="s">
        <v>524</v>
      </c>
      <c r="D346" s="289">
        <f>insumos!$I$103*1.8</f>
        <v>0.02088</v>
      </c>
      <c r="E346" s="1" t="s">
        <v>538</v>
      </c>
      <c r="L346" s="278"/>
      <c r="M346" s="280" t="s">
        <v>134</v>
      </c>
      <c r="N346" s="278"/>
      <c r="O346" s="245"/>
      <c r="AA346" s="278"/>
      <c r="AB346" s="279" t="s">
        <v>134</v>
      </c>
      <c r="AC346" s="278"/>
      <c r="AD346" s="245"/>
    </row>
    <row r="347" spans="2:30" x14ac:dyDescent="0.25">
      <c r="B347" s="26">
        <v>2173</v>
      </c>
      <c r="C347" s="243" t="s">
        <v>536</v>
      </c>
      <c r="D347" s="289">
        <f>+insumos!$H$149*2</f>
        <v>0.0349502662966019</v>
      </c>
      <c r="E347" s="1" t="s">
        <v>547</v>
      </c>
      <c r="L347" s="281">
        <v>5524</v>
      </c>
      <c r="M347" s="1" t="s">
        <v>501</v>
      </c>
      <c r="N347" s="283">
        <f>insumos!$H$217</f>
        <v>0.8950000000000001</v>
      </c>
      <c r="O347" s="285"/>
      <c r="AA347" s="281">
        <v>6184</v>
      </c>
      <c r="AB347" s="1" t="s">
        <v>502</v>
      </c>
      <c r="AC347" s="283">
        <f>insumos!$H$215</f>
        <v>0.6</v>
      </c>
      <c r="AD347" s="245"/>
    </row>
    <row r="348" spans="2:30" x14ac:dyDescent="0.25">
      <c r="B348" s="281">
        <v>3636</v>
      </c>
      <c r="C348" s="282" t="s">
        <v>550</v>
      </c>
      <c r="D348" s="283">
        <f>+insumos!$H$121</f>
        <v>0.0445</v>
      </c>
      <c r="L348" s="26" t="s">
        <v>513</v>
      </c>
      <c r="M348" s="30" t="s">
        <v>514</v>
      </c>
      <c r="N348" s="283">
        <f>+insumos!$H$266</f>
        <v>1.1500000000000001</v>
      </c>
      <c r="O348" s="285"/>
      <c r="AA348" s="281">
        <v>2037</v>
      </c>
      <c r="AB348" s="282" t="s">
        <v>511</v>
      </c>
      <c r="AC348" s="283">
        <f>+insumos!$H$268</f>
        <v>0.65</v>
      </c>
      <c r="AD348" s="245"/>
    </row>
    <row r="349" spans="2:30" x14ac:dyDescent="0.25">
      <c r="B349" s="294"/>
      <c r="C349" s="279" t="s">
        <v>553</v>
      </c>
      <c r="D349" s="295"/>
      <c r="L349" s="281">
        <v>4542</v>
      </c>
      <c r="M349" s="286" t="s">
        <v>527</v>
      </c>
      <c r="N349" s="283">
        <f>insumos!$I$35</f>
        <v>0.022058823529411763</v>
      </c>
      <c r="O349" s="285"/>
      <c r="AA349" s="281">
        <v>4542</v>
      </c>
      <c r="AB349" s="282" t="s">
        <v>527</v>
      </c>
      <c r="AC349" s="283">
        <f>insumos!$I$35</f>
        <v>0.022058823529411763</v>
      </c>
      <c r="AD349" s="245"/>
    </row>
    <row r="350" spans="2:30" x14ac:dyDescent="0.25">
      <c r="B350" s="281">
        <v>6214</v>
      </c>
      <c r="C350" s="282" t="s">
        <v>573</v>
      </c>
      <c r="D350" s="31">
        <f>insumos!H166*16</f>
        <v>1.5031172413793101</v>
      </c>
      <c r="E350" s="296" t="s">
        <v>580</v>
      </c>
      <c r="L350" s="26">
        <v>3817</v>
      </c>
      <c r="M350" s="288" t="s">
        <v>524</v>
      </c>
      <c r="N350" s="289">
        <f>insumos!$I$103*1.8</f>
        <v>0.02088</v>
      </c>
      <c r="O350" s="290" t="s">
        <v>537</v>
      </c>
      <c r="AA350" s="26">
        <v>3817</v>
      </c>
      <c r="AB350" s="243" t="s">
        <v>524</v>
      </c>
      <c r="AC350" s="289">
        <f>insumos!$I$103*1.8</f>
        <v>0.02088</v>
      </c>
      <c r="AD350" s="285" t="s">
        <v>538</v>
      </c>
    </row>
    <row r="351" spans="2:30" x14ac:dyDescent="0.25">
      <c r="B351" s="281">
        <v>5202</v>
      </c>
      <c r="C351" s="282" t="s">
        <v>586</v>
      </c>
      <c r="D351" s="31">
        <f>insumos!$H$114*16</f>
        <v>0.4215161904761905</v>
      </c>
      <c r="E351" s="296" t="s">
        <v>580</v>
      </c>
      <c r="L351" s="26">
        <v>2173</v>
      </c>
      <c r="M351" s="288" t="s">
        <v>536</v>
      </c>
      <c r="N351" s="289">
        <f>+insumos!$H$149*2</f>
        <v>0.0349502662966019</v>
      </c>
      <c r="O351" s="291" t="s">
        <v>547</v>
      </c>
      <c r="AA351" s="26">
        <v>2173</v>
      </c>
      <c r="AB351" s="243" t="s">
        <v>536</v>
      </c>
      <c r="AC351" s="289">
        <f>+insumos!$H$149*2</f>
        <v>0.0349502662966019</v>
      </c>
      <c r="AD351" s="1" t="s">
        <v>547</v>
      </c>
    </row>
    <row r="352" spans="2:30" x14ac:dyDescent="0.25">
      <c r="B352" s="281">
        <v>6229</v>
      </c>
      <c r="C352" s="30" t="s">
        <v>588</v>
      </c>
      <c r="D352" s="31">
        <f>insumos!$I$265*16</f>
        <v>0.3443402664323933</v>
      </c>
      <c r="E352" s="296" t="s">
        <v>580</v>
      </c>
      <c r="L352" s="281">
        <v>3636</v>
      </c>
      <c r="M352" s="286" t="s">
        <v>550</v>
      </c>
      <c r="N352" s="283">
        <f>+insumos!$H$121</f>
        <v>0.0445</v>
      </c>
      <c r="O352" s="285"/>
      <c r="AA352" s="281">
        <v>3636</v>
      </c>
      <c r="AB352" s="282" t="s">
        <v>550</v>
      </c>
      <c r="AC352" s="283">
        <f>+insumos!$H$121</f>
        <v>0.0445</v>
      </c>
      <c r="AD352" s="245"/>
    </row>
    <row r="353" spans="2:30" x14ac:dyDescent="0.25">
      <c r="B353" s="281">
        <v>6254</v>
      </c>
      <c r="C353" s="30" t="s">
        <v>600</v>
      </c>
      <c r="D353" s="31">
        <f>+insumos!$I$208*16</f>
        <v>0.7113191978268528</v>
      </c>
      <c r="E353" s="296" t="s">
        <v>580</v>
      </c>
      <c r="L353" s="292"/>
      <c r="M353" s="280" t="s">
        <v>553</v>
      </c>
      <c r="N353" s="293"/>
      <c r="O353" s="285"/>
      <c r="AA353" s="292"/>
      <c r="AB353" s="279" t="s">
        <v>553</v>
      </c>
      <c r="AC353" s="293"/>
      <c r="AD353" s="245"/>
    </row>
    <row r="354" spans="2:30" x14ac:dyDescent="0.25">
      <c r="B354" s="297"/>
      <c r="C354" s="298" t="s">
        <v>5</v>
      </c>
      <c r="D354" s="299">
        <f>SUM(D342:D353)</f>
        <v>5.6327287190541</v>
      </c>
      <c r="L354" s="26" t="s">
        <v>691</v>
      </c>
      <c r="M354" s="30" t="s">
        <v>692</v>
      </c>
      <c r="N354" s="283">
        <f>insumos!$H$93*8</f>
        <v>0.912</v>
      </c>
      <c r="O354" s="291"/>
      <c r="AA354" s="26" t="s">
        <v>653</v>
      </c>
      <c r="AB354" s="30" t="s">
        <v>654</v>
      </c>
      <c r="AC354" s="283">
        <f>insumos!$H$224</f>
        <v>0.1</v>
      </c>
      <c r="AD354" s="1"/>
    </row>
    <row r="355" spans="2:30" x14ac:dyDescent="0.25">
      <c r="B355" s="281"/>
      <c r="C355" s="282" t="s">
        <v>587</v>
      </c>
      <c r="D355" s="281">
        <v>7.49</v>
      </c>
      <c r="L355" s="26" t="s">
        <v>566</v>
      </c>
      <c r="M355" s="30" t="s">
        <v>567</v>
      </c>
      <c r="N355" s="283">
        <f>insumos!$H$113*8</f>
        <v>0.2160756308973716</v>
      </c>
      <c r="O355" s="291"/>
      <c r="AA355" s="26"/>
      <c r="AB355" s="1"/>
      <c r="AC355" s="283"/>
      <c r="AD355" s="1"/>
    </row>
    <row r="356" spans="2:30" x14ac:dyDescent="0.25">
      <c r="B356" s="281"/>
      <c r="C356" s="307" t="s">
        <v>599</v>
      </c>
      <c r="D356" s="308">
        <f>+D354/D355</f>
        <v>0.7520332068163017</v>
      </c>
      <c r="E356" s="245"/>
      <c r="L356" s="297"/>
      <c r="M356" s="303" t="s">
        <v>5</v>
      </c>
      <c r="N356" s="299">
        <f>SUM(N347:N355)</f>
        <v>3.295464720723386</v>
      </c>
      <c r="O356" s="245"/>
      <c r="AA356" s="297"/>
      <c r="AB356" s="298" t="s">
        <v>5</v>
      </c>
      <c r="AC356" s="299">
        <f>SUM(AC347:AC355)</f>
        <v>1.4723890898260137</v>
      </c>
      <c r="AD356" s="245"/>
    </row>
    <row r="357" spans="2:30" x14ac:dyDescent="0.25">
      <c r="B357" s="311"/>
      <c r="C357" s="307" t="s">
        <v>604</v>
      </c>
      <c r="D357" s="308">
        <f>D356*1.03</f>
        <v>0.7745942030207907</v>
      </c>
      <c r="E357" s="245"/>
      <c r="L357" s="281"/>
      <c r="M357" s="286" t="s">
        <v>587</v>
      </c>
      <c r="N357" s="304">
        <f>596.38/33</f>
        <v>18.07212121212121</v>
      </c>
      <c r="O357" s="245"/>
      <c r="AA357" s="281"/>
      <c r="AB357" s="282" t="s">
        <v>587</v>
      </c>
      <c r="AC357" s="304">
        <f>345589.11/19878</f>
        <v>17.38550709326894</v>
      </c>
      <c r="AD357" s="245"/>
    </row>
    <row r="358" spans="5:30" x14ac:dyDescent="0.25">
      <c r="E358" s="245"/>
      <c r="L358" s="281"/>
      <c r="M358" s="310" t="s">
        <v>599</v>
      </c>
      <c r="N358" s="308">
        <f>+N356/N357</f>
        <v>0.18235074245258348</v>
      </c>
      <c r="O358" s="245"/>
      <c r="AA358" s="281"/>
      <c r="AB358" s="307" t="s">
        <v>599</v>
      </c>
      <c r="AC358" s="308">
        <f>+AC356/AC357</f>
        <v>0.0846906036117906</v>
      </c>
      <c r="AD358" s="245"/>
    </row>
    <row r="359" spans="2:30" x14ac:dyDescent="0.25">
      <c r="B359" s="259">
        <v>438414</v>
      </c>
      <c r="C359" s="260" t="s">
        <v>886</v>
      </c>
      <c r="D359" s="259">
        <v>273</v>
      </c>
      <c r="E359" s="266">
        <f>D359/E2</f>
        <v>6.780923994038749</v>
      </c>
      <c r="L359" s="311"/>
      <c r="M359" s="310" t="s">
        <v>604</v>
      </c>
      <c r="N359" s="308">
        <f>N358*1.03</f>
        <v>0.18782126472616098</v>
      </c>
      <c r="O359" s="245"/>
      <c r="AA359" s="311"/>
      <c r="AB359" s="307" t="s">
        <v>604</v>
      </c>
      <c r="AC359" s="308">
        <f>AC358*1.03</f>
        <v>0.08723132172014432</v>
      </c>
      <c r="AD359" s="245"/>
    </row>
    <row r="360" spans="2:4" x14ac:dyDescent="0.25">
      <c r="B360" s="275" t="s">
        <v>492</v>
      </c>
      <c r="C360" s="276" t="s">
        <v>495</v>
      </c>
      <c r="D360" s="275" t="s">
        <v>467</v>
      </c>
    </row>
    <row r="361" spans="2:30" x14ac:dyDescent="0.25">
      <c r="B361" s="278"/>
      <c r="C361" s="279" t="s">
        <v>134</v>
      </c>
      <c r="D361" s="278"/>
      <c r="E361" s="245"/>
      <c r="L361" s="263">
        <v>436630</v>
      </c>
      <c r="M361" s="264" t="s">
        <v>887</v>
      </c>
      <c r="N361" s="265">
        <v>1040</v>
      </c>
      <c r="O361" s="266">
        <f>N361/E2</f>
        <v>25.8320914058619</v>
      </c>
      <c r="AA361" s="263">
        <v>991290</v>
      </c>
      <c r="AB361" s="264" t="s">
        <v>888</v>
      </c>
      <c r="AC361" s="267"/>
      <c r="AD361" s="245"/>
    </row>
    <row r="362" spans="2:30" x14ac:dyDescent="0.25">
      <c r="B362" s="281">
        <v>5524</v>
      </c>
      <c r="C362" s="1" t="s">
        <v>501</v>
      </c>
      <c r="D362" s="283">
        <f>insumos!$H$217</f>
        <v>0.8950000000000001</v>
      </c>
      <c r="E362" s="245"/>
      <c r="L362" s="275" t="s">
        <v>492</v>
      </c>
      <c r="M362" s="277" t="s">
        <v>495</v>
      </c>
      <c r="N362" s="275" t="s">
        <v>467</v>
      </c>
      <c r="O362" s="245"/>
      <c r="AA362" s="275" t="s">
        <v>492</v>
      </c>
      <c r="AB362" s="276" t="s">
        <v>495</v>
      </c>
      <c r="AC362" s="275" t="s">
        <v>467</v>
      </c>
      <c r="AD362" s="245"/>
    </row>
    <row r="363" spans="2:30" x14ac:dyDescent="0.25">
      <c r="B363" s="281">
        <v>5523</v>
      </c>
      <c r="C363" s="282" t="s">
        <v>508</v>
      </c>
      <c r="D363" s="283">
        <f>+insumos!$H$285</f>
        <v>1.1829611337771098</v>
      </c>
      <c r="E363" s="245"/>
      <c r="L363" s="278"/>
      <c r="M363" s="280" t="s">
        <v>134</v>
      </c>
      <c r="N363" s="278"/>
      <c r="O363" s="245"/>
      <c r="AA363" s="278"/>
      <c r="AB363" s="279" t="s">
        <v>134</v>
      </c>
      <c r="AC363" s="278"/>
      <c r="AD363" s="245"/>
    </row>
    <row r="364" spans="2:30" x14ac:dyDescent="0.25">
      <c r="B364" s="281">
        <v>4986</v>
      </c>
      <c r="C364" s="1" t="s">
        <v>530</v>
      </c>
      <c r="D364" s="283">
        <f>insumos!$H$255*3</f>
        <v>0.5699996367390061</v>
      </c>
      <c r="E364" s="284" t="s">
        <v>526</v>
      </c>
      <c r="L364" s="26" t="s">
        <v>889</v>
      </c>
      <c r="M364" s="30" t="s">
        <v>890</v>
      </c>
      <c r="N364" s="283">
        <f>insumos!$H$212</f>
        <v>0.7437218609304652</v>
      </c>
      <c r="O364" s="285"/>
      <c r="AA364" s="281">
        <v>6184</v>
      </c>
      <c r="AB364" s="1" t="s">
        <v>502</v>
      </c>
      <c r="AC364" s="283">
        <f>insumos!$H$215</f>
        <v>0.6</v>
      </c>
      <c r="AD364" s="245"/>
    </row>
    <row r="365" spans="2:30" x14ac:dyDescent="0.25">
      <c r="B365" s="281">
        <v>4542</v>
      </c>
      <c r="C365" s="282" t="s">
        <v>527</v>
      </c>
      <c r="D365" s="283">
        <f>insumos!$I$35</f>
        <v>0.022058823529411763</v>
      </c>
      <c r="E365" s="284"/>
      <c r="L365" s="26" t="s">
        <v>509</v>
      </c>
      <c r="M365" s="30" t="s">
        <v>510</v>
      </c>
      <c r="N365" s="283">
        <f>+insumos!$H$267</f>
        <v>1.2</v>
      </c>
      <c r="O365" s="285"/>
      <c r="AA365" s="281">
        <v>2037</v>
      </c>
      <c r="AB365" s="282" t="s">
        <v>511</v>
      </c>
      <c r="AC365" s="283">
        <f>+insumos!$H$268</f>
        <v>0.65</v>
      </c>
      <c r="AD365" s="245"/>
    </row>
    <row r="366" spans="2:30" x14ac:dyDescent="0.25">
      <c r="B366" s="26">
        <v>3817</v>
      </c>
      <c r="C366" s="243" t="s">
        <v>524</v>
      </c>
      <c r="D366" s="289">
        <f>insumos!$I$103*1.8</f>
        <v>0.02088</v>
      </c>
      <c r="E366" s="290" t="s">
        <v>537</v>
      </c>
      <c r="L366" s="281">
        <v>4541</v>
      </c>
      <c r="M366" s="282" t="s">
        <v>528</v>
      </c>
      <c r="N366" s="283">
        <f>insumos!$H$43</f>
        <v>0.022058823529411766</v>
      </c>
      <c r="O366" s="285"/>
      <c r="AA366" s="26" t="s">
        <v>533</v>
      </c>
      <c r="AB366" s="30" t="s">
        <v>534</v>
      </c>
      <c r="AC366" s="283">
        <f>insumos!$I$33</f>
        <v>0.049999554426770045</v>
      </c>
      <c r="AD366" s="287"/>
    </row>
    <row r="367" spans="2:30" x14ac:dyDescent="0.25">
      <c r="B367" s="26">
        <v>2173</v>
      </c>
      <c r="C367" s="243" t="s">
        <v>536</v>
      </c>
      <c r="D367" s="289">
        <f>+insumos!$H$149*2</f>
        <v>0.0349502662966019</v>
      </c>
      <c r="E367" s="291" t="s">
        <v>547</v>
      </c>
      <c r="L367" s="26">
        <v>3817</v>
      </c>
      <c r="M367" s="288" t="s">
        <v>524</v>
      </c>
      <c r="N367" s="289">
        <f>insumos!$I$103*1.8</f>
        <v>0.02088</v>
      </c>
      <c r="O367" s="290" t="s">
        <v>537</v>
      </c>
      <c r="AA367" s="26">
        <v>3817</v>
      </c>
      <c r="AB367" s="243" t="s">
        <v>524</v>
      </c>
      <c r="AC367" s="289">
        <f>insumos!$I$103*1.8</f>
        <v>0.02088</v>
      </c>
      <c r="AD367" s="285" t="s">
        <v>538</v>
      </c>
    </row>
    <row r="368" spans="2:30" x14ac:dyDescent="0.25">
      <c r="B368" s="281">
        <v>3636</v>
      </c>
      <c r="C368" s="282" t="s">
        <v>550</v>
      </c>
      <c r="D368" s="283">
        <f>+insumos!$H$121</f>
        <v>0.0445</v>
      </c>
      <c r="L368" s="26">
        <v>2173</v>
      </c>
      <c r="M368" s="288" t="s">
        <v>536</v>
      </c>
      <c r="N368" s="289">
        <f>+insumos!$H$149*2</f>
        <v>0.0349502662966019</v>
      </c>
      <c r="O368" s="291" t="s">
        <v>547</v>
      </c>
      <c r="AA368" s="26">
        <v>2173</v>
      </c>
      <c r="AB368" s="243" t="s">
        <v>536</v>
      </c>
      <c r="AC368" s="289">
        <f>+insumos!$H$149*2</f>
        <v>0.0349502662966019</v>
      </c>
      <c r="AD368" s="1" t="s">
        <v>547</v>
      </c>
    </row>
    <row r="369" spans="2:30" x14ac:dyDescent="0.25">
      <c r="B369" s="294"/>
      <c r="C369" s="279" t="s">
        <v>553</v>
      </c>
      <c r="D369" s="295"/>
      <c r="L369" s="281">
        <v>3636</v>
      </c>
      <c r="M369" s="286" t="s">
        <v>550</v>
      </c>
      <c r="N369" s="283">
        <f>+insumos!$H$121</f>
        <v>0.0445</v>
      </c>
      <c r="O369" s="285"/>
      <c r="AA369" s="281">
        <v>3636</v>
      </c>
      <c r="AB369" s="282" t="s">
        <v>550</v>
      </c>
      <c r="AC369" s="283">
        <f>+insumos!$H$121</f>
        <v>0.0445</v>
      </c>
      <c r="AD369" s="245"/>
    </row>
    <row r="370" spans="2:30" x14ac:dyDescent="0.25">
      <c r="B370" s="281">
        <v>6269</v>
      </c>
      <c r="C370" s="282" t="s">
        <v>573</v>
      </c>
      <c r="D370" s="31">
        <f>insumos!H163*21</f>
        <v>1.9631584337349397</v>
      </c>
      <c r="E370" s="296" t="s">
        <v>660</v>
      </c>
      <c r="L370" s="292"/>
      <c r="M370" s="280" t="s">
        <v>553</v>
      </c>
      <c r="N370" s="293"/>
      <c r="O370" s="285"/>
      <c r="AA370" s="292"/>
      <c r="AB370" s="279" t="s">
        <v>553</v>
      </c>
      <c r="AC370" s="293"/>
      <c r="AD370" s="245"/>
    </row>
    <row r="371" spans="2:30" x14ac:dyDescent="0.25">
      <c r="B371" s="281">
        <v>5202</v>
      </c>
      <c r="C371" s="282" t="s">
        <v>586</v>
      </c>
      <c r="D371" s="31">
        <f>insumos!$H$114*21</f>
        <v>0.5532400000000001</v>
      </c>
      <c r="E371" s="296" t="s">
        <v>660</v>
      </c>
      <c r="L371" s="26" t="s">
        <v>558</v>
      </c>
      <c r="M371" s="1" t="s">
        <v>559</v>
      </c>
      <c r="N371" s="283">
        <f>insumos!$H$65*9</f>
        <v>1.2419981739924348</v>
      </c>
      <c r="O371" s="291" t="s">
        <v>579</v>
      </c>
      <c r="AA371" s="26"/>
      <c r="AB371" s="30"/>
      <c r="AC371" s="283"/>
      <c r="AD371" s="1"/>
    </row>
    <row r="372" spans="2:30" x14ac:dyDescent="0.25">
      <c r="B372" s="281">
        <v>6229</v>
      </c>
      <c r="C372" s="30" t="s">
        <v>588</v>
      </c>
      <c r="D372" s="31">
        <f>insumos!$I$265*21</f>
        <v>0.4519465996925162</v>
      </c>
      <c r="E372" s="296" t="s">
        <v>660</v>
      </c>
      <c r="L372" s="26" t="s">
        <v>566</v>
      </c>
      <c r="M372" s="30" t="s">
        <v>567</v>
      </c>
      <c r="N372" s="283">
        <f>insumos!$H$113*9</f>
        <v>0.24308508475954307</v>
      </c>
      <c r="O372" s="291" t="s">
        <v>579</v>
      </c>
      <c r="AA372" s="26"/>
      <c r="AB372" s="30"/>
      <c r="AC372" s="283"/>
      <c r="AD372" s="1"/>
    </row>
    <row r="373" spans="2:30" x14ac:dyDescent="0.25">
      <c r="B373" s="281">
        <v>6254</v>
      </c>
      <c r="C373" s="30" t="s">
        <v>600</v>
      </c>
      <c r="D373" s="31">
        <f>+insumos!$I$208*21</f>
        <v>0.9336064471477443</v>
      </c>
      <c r="E373" s="296" t="s">
        <v>660</v>
      </c>
      <c r="L373" s="297"/>
      <c r="M373" s="303" t="s">
        <v>5</v>
      </c>
      <c r="N373" s="299">
        <f>SUM(N364:N372)</f>
        <v>3.551194209508457</v>
      </c>
      <c r="O373" s="245"/>
      <c r="AA373" s="297"/>
      <c r="AB373" s="298" t="s">
        <v>5</v>
      </c>
      <c r="AC373" s="299">
        <f>SUM(AC364:AC372)</f>
        <v>1.4003298207233719</v>
      </c>
      <c r="AD373" s="245"/>
    </row>
    <row r="374" spans="2:30" x14ac:dyDescent="0.25">
      <c r="B374" s="297"/>
      <c r="C374" s="298" t="s">
        <v>5</v>
      </c>
      <c r="D374" s="299">
        <f>SUM(D362:D373)</f>
        <v>6.672301340917331</v>
      </c>
      <c r="L374" s="281"/>
      <c r="M374" s="286" t="s">
        <v>587</v>
      </c>
      <c r="N374" s="304">
        <f>1043.95/75</f>
        <v>13.919333333333334</v>
      </c>
      <c r="O374" s="245"/>
      <c r="AA374" s="281"/>
      <c r="AB374" s="282" t="s">
        <v>587</v>
      </c>
      <c r="AC374" s="304">
        <f>83888.43/3083</f>
        <v>27.209999999999997</v>
      </c>
      <c r="AD374" s="245"/>
    </row>
    <row r="375" spans="2:30" x14ac:dyDescent="0.25">
      <c r="B375" s="281"/>
      <c r="C375" s="282" t="s">
        <v>587</v>
      </c>
      <c r="D375" s="281">
        <v>11.68</v>
      </c>
      <c r="L375" s="281"/>
      <c r="M375" s="310" t="s">
        <v>599</v>
      </c>
      <c r="N375" s="308">
        <f>+N373/N374</f>
        <v>0.25512674525900114</v>
      </c>
      <c r="O375" s="245"/>
      <c r="AA375" s="281"/>
      <c r="AB375" s="307" t="s">
        <v>599</v>
      </c>
      <c r="AC375" s="308">
        <f>+AC373/AC374</f>
        <v>0.05146379348487218</v>
      </c>
      <c r="AD375" s="245"/>
    </row>
    <row r="376" spans="2:30" x14ac:dyDescent="0.25">
      <c r="B376" s="281"/>
      <c r="C376" s="307" t="s">
        <v>599</v>
      </c>
      <c r="D376" s="308">
        <f>+D374/D375</f>
        <v>0.5712586764484017</v>
      </c>
      <c r="E376" s="245"/>
      <c r="L376" s="311"/>
      <c r="M376" s="310" t="s">
        <v>604</v>
      </c>
      <c r="N376" s="308">
        <f>N375*1.03</f>
        <v>0.26278054761677117</v>
      </c>
      <c r="O376" s="245"/>
      <c r="AA376" s="311"/>
      <c r="AB376" s="307" t="s">
        <v>604</v>
      </c>
      <c r="AC376" s="308">
        <f>AC375*1.03</f>
        <v>0.053007707289418345</v>
      </c>
      <c r="AD376" s="245"/>
    </row>
    <row r="377" spans="2:5" x14ac:dyDescent="0.25">
      <c r="B377" s="311"/>
      <c r="C377" s="307" t="s">
        <v>604</v>
      </c>
      <c r="D377" s="308">
        <f>D376*1.03</f>
        <v>0.5883964367418537</v>
      </c>
      <c r="E377" s="245"/>
    </row>
    <row r="378" spans="5:30" x14ac:dyDescent="0.25">
      <c r="E378" s="245"/>
      <c r="L378" s="263">
        <v>436731</v>
      </c>
      <c r="M378" s="264" t="s">
        <v>891</v>
      </c>
      <c r="N378" s="265"/>
      <c r="O378" s="245"/>
      <c r="AA378" s="263">
        <v>991317</v>
      </c>
      <c r="AB378" s="264" t="s">
        <v>892</v>
      </c>
      <c r="AC378" s="267"/>
      <c r="AD378" s="245"/>
    </row>
    <row r="379" spans="2:30" x14ac:dyDescent="0.25">
      <c r="B379" s="259">
        <v>438443</v>
      </c>
      <c r="C379" s="260" t="s">
        <v>893</v>
      </c>
      <c r="D379" s="259">
        <v>236</v>
      </c>
      <c r="E379" s="266">
        <f>D379/E2</f>
        <v>5.861897665176354</v>
      </c>
      <c r="L379" s="275" t="s">
        <v>492</v>
      </c>
      <c r="M379" s="277" t="s">
        <v>495</v>
      </c>
      <c r="N379" s="275" t="s">
        <v>467</v>
      </c>
      <c r="O379" s="245"/>
      <c r="AA379" s="275" t="s">
        <v>492</v>
      </c>
      <c r="AB379" s="276" t="s">
        <v>495</v>
      </c>
      <c r="AC379" s="275" t="s">
        <v>467</v>
      </c>
      <c r="AD379" s="245"/>
    </row>
    <row r="380" spans="2:30" x14ac:dyDescent="0.25">
      <c r="B380" s="275" t="s">
        <v>492</v>
      </c>
      <c r="C380" s="276" t="s">
        <v>495</v>
      </c>
      <c r="D380" s="275" t="s">
        <v>467</v>
      </c>
      <c r="L380" s="278"/>
      <c r="M380" s="280" t="s">
        <v>134</v>
      </c>
      <c r="N380" s="278"/>
      <c r="O380" s="245"/>
      <c r="AA380" s="278"/>
      <c r="AB380" s="279" t="s">
        <v>134</v>
      </c>
      <c r="AC380" s="278"/>
      <c r="AD380" s="245"/>
    </row>
    <row r="381" spans="2:30" x14ac:dyDescent="0.25">
      <c r="B381" s="278"/>
      <c r="C381" s="279" t="s">
        <v>134</v>
      </c>
      <c r="D381" s="278"/>
      <c r="E381" s="245"/>
      <c r="L381" s="281">
        <v>3741</v>
      </c>
      <c r="M381" s="282" t="s">
        <v>500</v>
      </c>
      <c r="N381" s="283">
        <f>insumos!$G$213</f>
        <v>0.8355871886120997</v>
      </c>
      <c r="O381" s="285"/>
      <c r="AA381" s="281">
        <v>6184</v>
      </c>
      <c r="AB381" s="1" t="s">
        <v>502</v>
      </c>
      <c r="AC381" s="283">
        <f>insumos!$H$215</f>
        <v>0.6</v>
      </c>
      <c r="AD381" s="245"/>
    </row>
    <row r="382" spans="2:30" x14ac:dyDescent="0.25">
      <c r="B382" s="281">
        <v>5524</v>
      </c>
      <c r="C382" s="1" t="s">
        <v>501</v>
      </c>
      <c r="D382" s="283">
        <f>insumos!$H$217</f>
        <v>0.8950000000000001</v>
      </c>
      <c r="E382" s="245"/>
      <c r="L382" s="26" t="s">
        <v>509</v>
      </c>
      <c r="M382" s="30" t="s">
        <v>510</v>
      </c>
      <c r="N382" s="283">
        <f>+insumos!$H$267</f>
        <v>1.2</v>
      </c>
      <c r="O382" s="285"/>
      <c r="AA382" s="281">
        <v>2037</v>
      </c>
      <c r="AB382" s="282" t="s">
        <v>511</v>
      </c>
      <c r="AC382" s="283">
        <f>+insumos!$H$268</f>
        <v>0.65</v>
      </c>
      <c r="AD382" s="245"/>
    </row>
    <row r="383" spans="2:30" x14ac:dyDescent="0.25">
      <c r="B383" s="281">
        <v>5523</v>
      </c>
      <c r="C383" s="282" t="s">
        <v>508</v>
      </c>
      <c r="D383" s="283">
        <f>+insumos!$H$285</f>
        <v>1.1829611337771098</v>
      </c>
      <c r="E383" s="245"/>
      <c r="L383" s="281">
        <v>4541</v>
      </c>
      <c r="M383" s="282" t="s">
        <v>528</v>
      </c>
      <c r="N383" s="283">
        <f>insumos!$H$43</f>
        <v>0.022058823529411766</v>
      </c>
      <c r="O383" s="285"/>
      <c r="AA383" s="281">
        <v>4542</v>
      </c>
      <c r="AB383" s="282" t="s">
        <v>527</v>
      </c>
      <c r="AC383" s="283">
        <f>insumos!$I$35</f>
        <v>0.022058823529411763</v>
      </c>
      <c r="AD383" s="245"/>
    </row>
    <row r="384" spans="2:30" x14ac:dyDescent="0.25">
      <c r="B384" s="281">
        <v>4986</v>
      </c>
      <c r="C384" s="1" t="s">
        <v>530</v>
      </c>
      <c r="D384" s="283">
        <f>insumos!$H$255*3</f>
        <v>0.5699996367390061</v>
      </c>
      <c r="E384" s="284" t="s">
        <v>526</v>
      </c>
      <c r="L384" s="26">
        <v>3817</v>
      </c>
      <c r="M384" s="288" t="s">
        <v>524</v>
      </c>
      <c r="N384" s="289">
        <f>insumos!$I$103*1.8</f>
        <v>0.02088</v>
      </c>
      <c r="O384" s="290" t="s">
        <v>537</v>
      </c>
      <c r="AA384" s="26">
        <v>3817</v>
      </c>
      <c r="AB384" s="243" t="s">
        <v>524</v>
      </c>
      <c r="AC384" s="289">
        <f>insumos!$I$103*1.8</f>
        <v>0.02088</v>
      </c>
      <c r="AD384" s="285" t="s">
        <v>538</v>
      </c>
    </row>
    <row r="385" spans="2:30" x14ac:dyDescent="0.25">
      <c r="B385" s="281">
        <v>4542</v>
      </c>
      <c r="C385" s="282" t="s">
        <v>527</v>
      </c>
      <c r="D385" s="283">
        <f>insumos!$I$35</f>
        <v>0.022058823529411763</v>
      </c>
      <c r="E385" s="284"/>
      <c r="L385" s="26">
        <v>2173</v>
      </c>
      <c r="M385" s="288" t="s">
        <v>536</v>
      </c>
      <c r="N385" s="289">
        <f>+insumos!$H$149*2</f>
        <v>0.0349502662966019</v>
      </c>
      <c r="O385" s="291" t="s">
        <v>547</v>
      </c>
      <c r="AA385" s="26">
        <v>2173</v>
      </c>
      <c r="AB385" s="243" t="s">
        <v>536</v>
      </c>
      <c r="AC385" s="289">
        <f>+insumos!$H$149*2</f>
        <v>0.0349502662966019</v>
      </c>
      <c r="AD385" s="1" t="s">
        <v>547</v>
      </c>
    </row>
    <row r="386" spans="2:30" x14ac:dyDescent="0.25">
      <c r="B386" s="26">
        <v>3817</v>
      </c>
      <c r="C386" s="243" t="s">
        <v>524</v>
      </c>
      <c r="D386" s="289">
        <f>insumos!$I$103*1.8</f>
        <v>0.02088</v>
      </c>
      <c r="E386" s="290" t="s">
        <v>537</v>
      </c>
      <c r="L386" s="281">
        <v>3636</v>
      </c>
      <c r="M386" s="286" t="s">
        <v>550</v>
      </c>
      <c r="N386" s="283">
        <f>+insumos!$H$121</f>
        <v>0.0445</v>
      </c>
      <c r="O386" s="285"/>
      <c r="AA386" s="281">
        <v>3636</v>
      </c>
      <c r="AB386" s="282" t="s">
        <v>550</v>
      </c>
      <c r="AC386" s="283">
        <f>+insumos!$H$121</f>
        <v>0.0445</v>
      </c>
      <c r="AD386" s="245"/>
    </row>
    <row r="387" spans="2:30" x14ac:dyDescent="0.25">
      <c r="B387" s="26">
        <v>2173</v>
      </c>
      <c r="C387" s="243" t="s">
        <v>536</v>
      </c>
      <c r="D387" s="289">
        <f>+insumos!$H$149*2</f>
        <v>0.0349502662966019</v>
      </c>
      <c r="E387" s="291" t="s">
        <v>547</v>
      </c>
      <c r="L387" s="292"/>
      <c r="M387" s="280" t="s">
        <v>553</v>
      </c>
      <c r="N387" s="293"/>
      <c r="O387" s="285"/>
      <c r="AA387" s="292"/>
      <c r="AB387" s="279" t="s">
        <v>553</v>
      </c>
      <c r="AC387" s="293"/>
      <c r="AD387" s="245"/>
    </row>
    <row r="388" spans="2:30" x14ac:dyDescent="0.25">
      <c r="B388" s="281">
        <v>3636</v>
      </c>
      <c r="C388" s="282" t="s">
        <v>550</v>
      </c>
      <c r="D388" s="283">
        <f>+insumos!$H$121</f>
        <v>0.0445</v>
      </c>
      <c r="L388" s="26" t="s">
        <v>839</v>
      </c>
      <c r="M388" s="1" t="s">
        <v>840</v>
      </c>
      <c r="N388" s="283">
        <f>insumos!$H$73*4</f>
        <v>0.8200045714285714</v>
      </c>
      <c r="O388" s="291" t="s">
        <v>531</v>
      </c>
      <c r="AA388" s="26" t="s">
        <v>695</v>
      </c>
      <c r="AB388" s="30" t="s">
        <v>696</v>
      </c>
      <c r="AC388" s="283">
        <f>insumos!$H$225*2</f>
        <v>0.2</v>
      </c>
      <c r="AD388" s="1" t="s">
        <v>532</v>
      </c>
    </row>
    <row r="389" spans="2:30" x14ac:dyDescent="0.25">
      <c r="B389" s="294"/>
      <c r="C389" s="279" t="s">
        <v>553</v>
      </c>
      <c r="D389" s="295"/>
      <c r="L389" s="26" t="s">
        <v>566</v>
      </c>
      <c r="M389" s="30" t="s">
        <v>567</v>
      </c>
      <c r="N389" s="283">
        <f>insumos!$H$113*4</f>
        <v>0.1080378154486858</v>
      </c>
      <c r="O389" s="291" t="s">
        <v>531</v>
      </c>
      <c r="AA389" s="26" t="s">
        <v>574</v>
      </c>
      <c r="AB389" s="1" t="s">
        <v>575</v>
      </c>
      <c r="AC389" s="283">
        <f>insumos!$H$120*2</f>
        <v>0.0398</v>
      </c>
      <c r="AD389" s="1" t="s">
        <v>532</v>
      </c>
    </row>
    <row r="390" spans="2:30" x14ac:dyDescent="0.25">
      <c r="B390" s="26" t="s">
        <v>894</v>
      </c>
      <c r="C390" s="1" t="s">
        <v>895</v>
      </c>
      <c r="D390" s="31">
        <f>insumos!H158*21</f>
        <v>2.058</v>
      </c>
      <c r="E390" s="296" t="s">
        <v>660</v>
      </c>
      <c r="L390" s="297"/>
      <c r="M390" s="303" t="s">
        <v>5</v>
      </c>
      <c r="N390" s="299">
        <f>SUM(N381:N389)</f>
        <v>3.086018665315371</v>
      </c>
      <c r="O390" s="245"/>
      <c r="AA390" s="297"/>
      <c r="AB390" s="298" t="s">
        <v>5</v>
      </c>
      <c r="AC390" s="299">
        <f>SUM(AC381:AC389)</f>
        <v>1.6121890898260136</v>
      </c>
      <c r="AD390" s="245"/>
    </row>
    <row r="391" spans="2:30" x14ac:dyDescent="0.25">
      <c r="B391" s="281">
        <v>5202</v>
      </c>
      <c r="C391" s="282" t="s">
        <v>586</v>
      </c>
      <c r="D391" s="31">
        <f>insumos!$H$114*21</f>
        <v>0.5532400000000001</v>
      </c>
      <c r="E391" s="296" t="s">
        <v>660</v>
      </c>
      <c r="L391" s="281"/>
      <c r="M391" s="286" t="s">
        <v>587</v>
      </c>
      <c r="N391" s="304">
        <f>8016.34/603</f>
        <v>13.294096185737978</v>
      </c>
      <c r="O391" s="245"/>
      <c r="AA391" s="281"/>
      <c r="AB391" s="282" t="s">
        <v>587</v>
      </c>
      <c r="AC391" s="304">
        <f>259190.6/15178</f>
        <v>17.076729476874423</v>
      </c>
      <c r="AD391" s="245"/>
    </row>
    <row r="392" spans="2:30" x14ac:dyDescent="0.25">
      <c r="B392" s="281">
        <v>6229</v>
      </c>
      <c r="C392" s="30" t="s">
        <v>588</v>
      </c>
      <c r="D392" s="31">
        <f>insumos!$I$265*21</f>
        <v>0.4519465996925162</v>
      </c>
      <c r="E392" s="296" t="s">
        <v>660</v>
      </c>
      <c r="L392" s="281"/>
      <c r="M392" s="310" t="s">
        <v>599</v>
      </c>
      <c r="N392" s="308">
        <f>+N390/N391</f>
        <v>0.2321345221366819</v>
      </c>
      <c r="O392" s="245"/>
      <c r="AA392" s="281"/>
      <c r="AB392" s="307" t="s">
        <v>599</v>
      </c>
      <c r="AC392" s="308">
        <f>+AC390/AC391</f>
        <v>0.09440853952797376</v>
      </c>
      <c r="AD392" s="245"/>
    </row>
    <row r="393" spans="2:30" x14ac:dyDescent="0.25">
      <c r="B393" s="281">
        <v>6254</v>
      </c>
      <c r="C393" s="30" t="s">
        <v>600</v>
      </c>
      <c r="D393" s="31">
        <f>+insumos!$I$208*21</f>
        <v>0.9336064471477443</v>
      </c>
      <c r="E393" s="296" t="s">
        <v>660</v>
      </c>
      <c r="L393" s="311"/>
      <c r="M393" s="310" t="s">
        <v>604</v>
      </c>
      <c r="N393" s="308">
        <f>N392*1.03</f>
        <v>0.23909855780078237</v>
      </c>
      <c r="O393" s="245"/>
      <c r="AA393" s="311"/>
      <c r="AB393" s="307" t="s">
        <v>604</v>
      </c>
      <c r="AC393" s="308">
        <f>AC392*1.03</f>
        <v>0.09724079571381297</v>
      </c>
      <c r="AD393" s="245"/>
    </row>
    <row r="394" spans="2:4" x14ac:dyDescent="0.25">
      <c r="B394" s="297"/>
      <c r="C394" s="298" t="s">
        <v>5</v>
      </c>
      <c r="D394" s="299">
        <f>SUM(D382:D393)</f>
        <v>6.767142907182389</v>
      </c>
    </row>
    <row r="395" spans="2:30" x14ac:dyDescent="0.25">
      <c r="B395" s="281"/>
      <c r="C395" s="282" t="s">
        <v>587</v>
      </c>
      <c r="D395" s="304">
        <f>6355.07/500</f>
        <v>12.710139999999999</v>
      </c>
      <c r="L395" s="263">
        <v>436732</v>
      </c>
      <c r="M395" s="264" t="s">
        <v>792</v>
      </c>
      <c r="N395" s="265">
        <v>398</v>
      </c>
      <c r="O395" s="266">
        <f>N395/E2</f>
        <v>9.885742672627918</v>
      </c>
      <c r="AA395" s="263">
        <v>991326</v>
      </c>
      <c r="AB395" s="264" t="s">
        <v>896</v>
      </c>
      <c r="AC395" s="267"/>
      <c r="AD395" s="245"/>
    </row>
    <row r="396" spans="2:30" x14ac:dyDescent="0.25">
      <c r="B396" s="281"/>
      <c r="C396" s="307" t="s">
        <v>599</v>
      </c>
      <c r="D396" s="308">
        <f>+D394/D395</f>
        <v>0.5324208000212736</v>
      </c>
      <c r="E396" s="245"/>
      <c r="L396" s="275" t="s">
        <v>492</v>
      </c>
      <c r="M396" s="277" t="s">
        <v>495</v>
      </c>
      <c r="N396" s="275" t="s">
        <v>467</v>
      </c>
      <c r="O396" s="245"/>
      <c r="AA396" s="275" t="s">
        <v>492</v>
      </c>
      <c r="AB396" s="276" t="s">
        <v>495</v>
      </c>
      <c r="AC396" s="275" t="s">
        <v>467</v>
      </c>
      <c r="AD396" s="245"/>
    </row>
    <row r="397" spans="2:30" x14ac:dyDescent="0.25">
      <c r="B397" s="311"/>
      <c r="C397" s="307" t="s">
        <v>604</v>
      </c>
      <c r="D397" s="308">
        <f>D396*1.03</f>
        <v>0.5483934240219118</v>
      </c>
      <c r="E397" s="245"/>
      <c r="L397" s="278"/>
      <c r="M397" s="280" t="s">
        <v>134</v>
      </c>
      <c r="N397" s="278"/>
      <c r="O397" s="245"/>
      <c r="AA397" s="278"/>
      <c r="AB397" s="279" t="s">
        <v>134</v>
      </c>
      <c r="AC397" s="278"/>
      <c r="AD397" s="245"/>
    </row>
    <row r="398" spans="12:30" x14ac:dyDescent="0.25">
      <c r="L398" s="281">
        <v>5524</v>
      </c>
      <c r="M398" s="1" t="s">
        <v>501</v>
      </c>
      <c r="N398" s="283">
        <f>insumos!$H$217</f>
        <v>0.8950000000000001</v>
      </c>
      <c r="O398" s="285"/>
      <c r="AA398" s="281">
        <v>6184</v>
      </c>
      <c r="AB398" s="1" t="s">
        <v>502</v>
      </c>
      <c r="AC398" s="283">
        <f>insumos!$H$215</f>
        <v>0.6</v>
      </c>
      <c r="AD398" s="245"/>
    </row>
    <row r="399" spans="2:30" x14ac:dyDescent="0.25">
      <c r="B399" s="259">
        <v>438160</v>
      </c>
      <c r="C399" s="260" t="s">
        <v>897</v>
      </c>
      <c r="D399" s="259">
        <v>635</v>
      </c>
      <c r="E399" s="272">
        <f>D399/E2</f>
        <v>15.772478887232987</v>
      </c>
      <c r="L399" s="26" t="s">
        <v>513</v>
      </c>
      <c r="M399" s="30" t="s">
        <v>514</v>
      </c>
      <c r="N399" s="283">
        <f>+insumos!$H$266</f>
        <v>1.1500000000000001</v>
      </c>
      <c r="O399" s="285"/>
      <c r="AA399" s="281">
        <v>2037</v>
      </c>
      <c r="AB399" s="282" t="s">
        <v>511</v>
      </c>
      <c r="AC399" s="283">
        <f>+insumos!$H$268</f>
        <v>0.65</v>
      </c>
      <c r="AD399" s="245"/>
    </row>
    <row r="400" spans="2:30" x14ac:dyDescent="0.25">
      <c r="B400" s="275" t="s">
        <v>492</v>
      </c>
      <c r="C400" s="276" t="s">
        <v>495</v>
      </c>
      <c r="D400" s="275" t="s">
        <v>467</v>
      </c>
      <c r="E400" s="245"/>
      <c r="L400" s="281">
        <v>4542</v>
      </c>
      <c r="M400" s="286" t="s">
        <v>527</v>
      </c>
      <c r="N400" s="283">
        <f>insumos!$I$35</f>
        <v>0.022058823529411763</v>
      </c>
      <c r="O400" s="285"/>
      <c r="AA400" s="281">
        <v>4542</v>
      </c>
      <c r="AB400" s="282" t="s">
        <v>527</v>
      </c>
      <c r="AC400" s="283">
        <f>insumos!$I$35</f>
        <v>0.022058823529411763</v>
      </c>
      <c r="AD400" s="245"/>
    </row>
    <row r="401" spans="2:30" x14ac:dyDescent="0.25">
      <c r="B401" s="278"/>
      <c r="C401" s="279" t="s">
        <v>134</v>
      </c>
      <c r="D401" s="278"/>
      <c r="E401" s="245"/>
      <c r="L401" s="26">
        <v>3817</v>
      </c>
      <c r="M401" s="288" t="s">
        <v>524</v>
      </c>
      <c r="N401" s="289">
        <f>insumos!$I$103*1.8</f>
        <v>0.02088</v>
      </c>
      <c r="O401" s="290" t="s">
        <v>537</v>
      </c>
      <c r="AA401" s="26">
        <v>3817</v>
      </c>
      <c r="AB401" s="243" t="s">
        <v>524</v>
      </c>
      <c r="AC401" s="289">
        <f>insumos!$I$103*1.8</f>
        <v>0.02088</v>
      </c>
      <c r="AD401" s="285" t="s">
        <v>538</v>
      </c>
    </row>
    <row r="402" spans="2:30" x14ac:dyDescent="0.25">
      <c r="B402" s="281">
        <v>3741</v>
      </c>
      <c r="C402" s="282" t="s">
        <v>500</v>
      </c>
      <c r="D402" s="31">
        <f>insumos!$G$213</f>
        <v>0.8355871886120997</v>
      </c>
      <c r="E402" s="245"/>
      <c r="L402" s="26">
        <v>2173</v>
      </c>
      <c r="M402" s="288" t="s">
        <v>536</v>
      </c>
      <c r="N402" s="289">
        <f>+insumos!$H$149*2</f>
        <v>0.0349502662966019</v>
      </c>
      <c r="O402" s="291" t="s">
        <v>547</v>
      </c>
      <c r="AA402" s="26">
        <v>2173</v>
      </c>
      <c r="AB402" s="243" t="s">
        <v>536</v>
      </c>
      <c r="AC402" s="289">
        <f>+insumos!$H$149*2</f>
        <v>0.0349502662966019</v>
      </c>
      <c r="AD402" s="1" t="s">
        <v>547</v>
      </c>
    </row>
    <row r="403" spans="2:30" x14ac:dyDescent="0.25">
      <c r="B403" s="281">
        <v>3759</v>
      </c>
      <c r="C403" s="1" t="s">
        <v>507</v>
      </c>
      <c r="D403" s="31">
        <f>+insumos!$G$284</f>
        <v>1.1352416613292604</v>
      </c>
      <c r="E403" s="245"/>
      <c r="L403" s="281">
        <v>3636</v>
      </c>
      <c r="M403" s="286" t="s">
        <v>550</v>
      </c>
      <c r="N403" s="283">
        <f>+insumos!$H$121</f>
        <v>0.0445</v>
      </c>
      <c r="O403" s="285"/>
      <c r="AA403" s="281">
        <v>3636</v>
      </c>
      <c r="AB403" s="282" t="s">
        <v>550</v>
      </c>
      <c r="AC403" s="283">
        <f>+insumos!$H$121</f>
        <v>0.0445</v>
      </c>
      <c r="AD403" s="245"/>
    </row>
    <row r="404" spans="2:30" x14ac:dyDescent="0.25">
      <c r="B404" s="281">
        <v>4653</v>
      </c>
      <c r="C404" s="282" t="s">
        <v>525</v>
      </c>
      <c r="D404" s="283">
        <f>insumos!$H$254</f>
        <v>0.18640596105732624</v>
      </c>
      <c r="E404" s="284"/>
      <c r="L404" s="292"/>
      <c r="M404" s="280" t="s">
        <v>553</v>
      </c>
      <c r="N404" s="293"/>
      <c r="O404" s="285"/>
      <c r="AA404" s="292"/>
      <c r="AB404" s="279" t="s">
        <v>553</v>
      </c>
      <c r="AC404" s="293"/>
      <c r="AD404" s="245"/>
    </row>
    <row r="405" spans="2:30" x14ac:dyDescent="0.25">
      <c r="B405" s="281">
        <v>4541</v>
      </c>
      <c r="C405" s="282" t="s">
        <v>529</v>
      </c>
      <c r="D405" s="283">
        <f>insumos!$H$43</f>
        <v>0.022058823529411766</v>
      </c>
      <c r="E405" s="245"/>
      <c r="L405" s="26" t="s">
        <v>691</v>
      </c>
      <c r="M405" s="1" t="s">
        <v>692</v>
      </c>
      <c r="N405" s="283">
        <f>insumos!$H$93*7</f>
        <v>0.798</v>
      </c>
      <c r="O405" s="291" t="s">
        <v>661</v>
      </c>
      <c r="AA405" s="26" t="s">
        <v>653</v>
      </c>
      <c r="AB405" s="30" t="s">
        <v>654</v>
      </c>
      <c r="AC405" s="283">
        <f>insumos!$H$224*6</f>
        <v>0.6000000000000001</v>
      </c>
      <c r="AD405" s="1" t="s">
        <v>662</v>
      </c>
    </row>
    <row r="406" spans="2:30" x14ac:dyDescent="0.25">
      <c r="B406" s="26">
        <v>3817</v>
      </c>
      <c r="C406" s="243" t="s">
        <v>524</v>
      </c>
      <c r="D406" s="289">
        <f>insumos!$I$103*1.8</f>
        <v>0.02088</v>
      </c>
      <c r="E406" s="1" t="s">
        <v>538</v>
      </c>
      <c r="L406" s="26" t="s">
        <v>566</v>
      </c>
      <c r="M406" s="30" t="s">
        <v>567</v>
      </c>
      <c r="N406" s="283">
        <f>insumos!$H$113*7</f>
        <v>0.18906617703520015</v>
      </c>
      <c r="O406" s="291" t="s">
        <v>661</v>
      </c>
      <c r="AA406" s="26" t="s">
        <v>574</v>
      </c>
      <c r="AB406" s="1" t="s">
        <v>575</v>
      </c>
      <c r="AC406" s="283">
        <f>insumos!$H$120*6</f>
        <v>0.1194</v>
      </c>
      <c r="AD406" s="1" t="s">
        <v>662</v>
      </c>
    </row>
    <row r="407" spans="2:30" x14ac:dyDescent="0.25">
      <c r="B407" s="26">
        <v>2173</v>
      </c>
      <c r="C407" s="243" t="s">
        <v>536</v>
      </c>
      <c r="D407" s="289">
        <f>+insumos!$H$149*2</f>
        <v>0.0349502662966019</v>
      </c>
      <c r="E407" s="1" t="s">
        <v>547</v>
      </c>
      <c r="L407" s="297"/>
      <c r="M407" s="303" t="s">
        <v>5</v>
      </c>
      <c r="N407" s="299">
        <f>SUM(N398:N406)</f>
        <v>3.1544552668612145</v>
      </c>
      <c r="O407" s="245"/>
      <c r="AA407" s="297"/>
      <c r="AB407" s="298" t="s">
        <v>5</v>
      </c>
      <c r="AC407" s="299">
        <f>SUM(AC398:AC406)</f>
        <v>2.0917890898260136</v>
      </c>
      <c r="AD407" s="245"/>
    </row>
    <row r="408" spans="2:30" x14ac:dyDescent="0.25">
      <c r="B408" s="281">
        <v>3636</v>
      </c>
      <c r="C408" s="282" t="s">
        <v>550</v>
      </c>
      <c r="D408" s="283">
        <f>+insumos!$H$121</f>
        <v>0.0445</v>
      </c>
      <c r="L408" s="281"/>
      <c r="M408" s="286" t="s">
        <v>587</v>
      </c>
      <c r="N408" s="304">
        <f>29317.42/1731</f>
        <v>16.936695551704215</v>
      </c>
      <c r="O408" s="245"/>
      <c r="AA408" s="281"/>
      <c r="AB408" s="282" t="s">
        <v>587</v>
      </c>
      <c r="AC408" s="304">
        <f>29894.34/1462</f>
        <v>20.447564979480163</v>
      </c>
      <c r="AD408" s="245"/>
    </row>
    <row r="409" spans="2:30" x14ac:dyDescent="0.25">
      <c r="B409" s="294"/>
      <c r="C409" s="279" t="s">
        <v>553</v>
      </c>
      <c r="D409" s="295"/>
      <c r="L409" s="281"/>
      <c r="M409" s="310" t="s">
        <v>599</v>
      </c>
      <c r="N409" s="308">
        <f>+N407/N408</f>
        <v>0.1862497473153082</v>
      </c>
      <c r="O409" s="245"/>
      <c r="AA409" s="281"/>
      <c r="AB409" s="307" t="s">
        <v>599</v>
      </c>
      <c r="AC409" s="308">
        <f>+AC407/AC408</f>
        <v>0.10230015612740179</v>
      </c>
      <c r="AD409" s="245"/>
    </row>
    <row r="410" spans="2:30" x14ac:dyDescent="0.25">
      <c r="B410" s="26" t="s">
        <v>581</v>
      </c>
      <c r="C410" s="1" t="s">
        <v>582</v>
      </c>
      <c r="D410" s="31">
        <f>insumos!H181*16</f>
        <v>1.5679999999999998</v>
      </c>
      <c r="E410" s="296" t="s">
        <v>580</v>
      </c>
      <c r="L410" s="311"/>
      <c r="M410" s="310" t="s">
        <v>604</v>
      </c>
      <c r="N410" s="308">
        <f>N409*1.03</f>
        <v>0.19183723973476743</v>
      </c>
      <c r="O410" s="245"/>
      <c r="AA410" s="311"/>
      <c r="AB410" s="307" t="s">
        <v>604</v>
      </c>
      <c r="AC410" s="308">
        <f>AC409*1.03</f>
        <v>0.10536916081122384</v>
      </c>
      <c r="AD410" s="245"/>
    </row>
    <row r="411" spans="2:5" x14ac:dyDescent="0.25">
      <c r="B411" s="281">
        <v>5202</v>
      </c>
      <c r="C411" s="282" t="s">
        <v>586</v>
      </c>
      <c r="D411" s="31">
        <f>insumos!$H$114*16</f>
        <v>0.4215161904761905</v>
      </c>
      <c r="E411" s="296" t="s">
        <v>580</v>
      </c>
    </row>
    <row r="412" spans="2:30" x14ac:dyDescent="0.25">
      <c r="B412" s="26" t="s">
        <v>558</v>
      </c>
      <c r="C412" s="1" t="s">
        <v>559</v>
      </c>
      <c r="D412" s="31">
        <f>insumos!$H$65*16</f>
        <v>2.207996753764329</v>
      </c>
      <c r="E412" s="296" t="s">
        <v>580</v>
      </c>
      <c r="L412" s="263">
        <v>436733</v>
      </c>
      <c r="M412" s="264" t="s">
        <v>898</v>
      </c>
      <c r="N412" s="265">
        <v>580</v>
      </c>
      <c r="O412" s="266">
        <f>N412/E2</f>
        <v>14.406358668653752</v>
      </c>
      <c r="AA412" s="263">
        <v>991352</v>
      </c>
      <c r="AB412" s="264" t="s">
        <v>899</v>
      </c>
      <c r="AC412" s="267"/>
      <c r="AD412" s="245"/>
    </row>
    <row r="413" spans="2:30" x14ac:dyDescent="0.25">
      <c r="B413" s="297"/>
      <c r="C413" s="298" t="s">
        <v>5</v>
      </c>
      <c r="D413" s="299">
        <f>SUM(D402:D412)</f>
        <v>6.477136845065219</v>
      </c>
      <c r="L413" s="275" t="s">
        <v>492</v>
      </c>
      <c r="M413" s="277" t="s">
        <v>495</v>
      </c>
      <c r="N413" s="275" t="s">
        <v>467</v>
      </c>
      <c r="O413" s="245"/>
      <c r="AA413" s="275" t="s">
        <v>492</v>
      </c>
      <c r="AB413" s="276" t="s">
        <v>495</v>
      </c>
      <c r="AC413" s="275" t="s">
        <v>467</v>
      </c>
      <c r="AD413" s="245"/>
    </row>
    <row r="414" spans="2:30" x14ac:dyDescent="0.25">
      <c r="B414" s="281"/>
      <c r="C414" s="282" t="s">
        <v>587</v>
      </c>
      <c r="D414" s="304">
        <f>17450.54/1436</f>
        <v>12.152186629526463</v>
      </c>
      <c r="L414" s="278"/>
      <c r="M414" s="280" t="s">
        <v>134</v>
      </c>
      <c r="N414" s="278"/>
      <c r="O414" s="245"/>
      <c r="AA414" s="278"/>
      <c r="AB414" s="279" t="s">
        <v>134</v>
      </c>
      <c r="AC414" s="278"/>
      <c r="AD414" s="245"/>
    </row>
    <row r="415" spans="2:30" x14ac:dyDescent="0.25">
      <c r="B415" s="281"/>
      <c r="C415" s="307" t="s">
        <v>599</v>
      </c>
      <c r="D415" s="308">
        <f>+D413/D414</f>
        <v>0.5330017586569615</v>
      </c>
      <c r="E415" s="245"/>
      <c r="L415" s="281">
        <v>5524</v>
      </c>
      <c r="M415" s="1" t="s">
        <v>501</v>
      </c>
      <c r="N415" s="283">
        <f>insumos!$H$217</f>
        <v>0.8950000000000001</v>
      </c>
      <c r="O415" s="285"/>
      <c r="AA415" s="281">
        <v>6184</v>
      </c>
      <c r="AB415" s="1" t="s">
        <v>502</v>
      </c>
      <c r="AC415" s="283">
        <f>insumos!$H$215</f>
        <v>0.6</v>
      </c>
      <c r="AD415" s="245"/>
    </row>
    <row r="416" spans="2:30" x14ac:dyDescent="0.25">
      <c r="B416" s="311"/>
      <c r="C416" s="307" t="s">
        <v>604</v>
      </c>
      <c r="D416" s="308">
        <f>D415*1.03</f>
        <v>0.5489918114166704</v>
      </c>
      <c r="E416" s="245"/>
      <c r="L416" s="26" t="s">
        <v>513</v>
      </c>
      <c r="M416" s="30" t="s">
        <v>514</v>
      </c>
      <c r="N416" s="283">
        <f>+insumos!$H$266</f>
        <v>1.1500000000000001</v>
      </c>
      <c r="O416" s="285"/>
      <c r="AA416" s="281">
        <v>2037</v>
      </c>
      <c r="AB416" s="282" t="s">
        <v>511</v>
      </c>
      <c r="AC416" s="283">
        <f>+insumos!$H$268</f>
        <v>0.65</v>
      </c>
      <c r="AD416" s="245"/>
    </row>
    <row r="417" spans="12:30" x14ac:dyDescent="0.25">
      <c r="L417" s="281">
        <v>4542</v>
      </c>
      <c r="M417" s="286" t="s">
        <v>527</v>
      </c>
      <c r="N417" s="283">
        <f>insumos!$I$35</f>
        <v>0.022058823529411763</v>
      </c>
      <c r="O417" s="285"/>
      <c r="AA417" s="281">
        <v>4542</v>
      </c>
      <c r="AB417" s="282" t="s">
        <v>527</v>
      </c>
      <c r="AC417" s="283">
        <f>insumos!$I$35</f>
        <v>0.022058823529411763</v>
      </c>
      <c r="AD417" s="287"/>
    </row>
    <row r="418" spans="2:30" x14ac:dyDescent="0.25">
      <c r="B418" s="259">
        <v>438360</v>
      </c>
      <c r="C418" s="260" t="s">
        <v>900</v>
      </c>
      <c r="D418" s="259">
        <v>595</v>
      </c>
      <c r="E418" s="272">
        <f>D418/E2</f>
        <v>14.778936910084452</v>
      </c>
      <c r="L418" s="26">
        <v>3817</v>
      </c>
      <c r="M418" s="288" t="s">
        <v>524</v>
      </c>
      <c r="N418" s="289">
        <f>insumos!$I$103*1.8</f>
        <v>0.02088</v>
      </c>
      <c r="O418" s="290" t="s">
        <v>537</v>
      </c>
      <c r="AA418" s="26">
        <v>3817</v>
      </c>
      <c r="AB418" s="243" t="s">
        <v>524</v>
      </c>
      <c r="AC418" s="289">
        <f>insumos!$I$103*1.8</f>
        <v>0.02088</v>
      </c>
      <c r="AD418" s="285" t="s">
        <v>538</v>
      </c>
    </row>
    <row r="419" spans="2:30" x14ac:dyDescent="0.25">
      <c r="B419" s="275" t="s">
        <v>492</v>
      </c>
      <c r="C419" s="276" t="s">
        <v>495</v>
      </c>
      <c r="D419" s="275" t="s">
        <v>467</v>
      </c>
      <c r="E419" s="245"/>
      <c r="L419" s="26">
        <v>2173</v>
      </c>
      <c r="M419" s="288" t="s">
        <v>536</v>
      </c>
      <c r="N419" s="289">
        <f>+insumos!$H$149*2</f>
        <v>0.0349502662966019</v>
      </c>
      <c r="O419" s="291" t="s">
        <v>547</v>
      </c>
      <c r="AA419" s="26">
        <v>2173</v>
      </c>
      <c r="AB419" s="243" t="s">
        <v>536</v>
      </c>
      <c r="AC419" s="289">
        <f>+insumos!$H$149*2</f>
        <v>0.0349502662966019</v>
      </c>
      <c r="AD419" s="1" t="s">
        <v>547</v>
      </c>
    </row>
    <row r="420" spans="2:30" x14ac:dyDescent="0.25">
      <c r="B420" s="278"/>
      <c r="C420" s="279" t="s">
        <v>134</v>
      </c>
      <c r="D420" s="278"/>
      <c r="E420" s="245"/>
      <c r="L420" s="281">
        <v>3636</v>
      </c>
      <c r="M420" s="286" t="s">
        <v>550</v>
      </c>
      <c r="N420" s="283">
        <f>+insumos!$H$121</f>
        <v>0.0445</v>
      </c>
      <c r="O420" s="285"/>
      <c r="AA420" s="281">
        <v>3636</v>
      </c>
      <c r="AB420" s="282" t="s">
        <v>550</v>
      </c>
      <c r="AC420" s="283">
        <f>+insumos!$H$121</f>
        <v>0.0445</v>
      </c>
      <c r="AD420" s="245"/>
    </row>
    <row r="421" spans="2:30" x14ac:dyDescent="0.25">
      <c r="B421" s="281">
        <v>3741</v>
      </c>
      <c r="C421" s="282" t="s">
        <v>500</v>
      </c>
      <c r="D421" s="31">
        <f>insumos!$G$213</f>
        <v>0.8355871886120997</v>
      </c>
      <c r="E421" s="245"/>
      <c r="L421" s="292"/>
      <c r="M421" s="280" t="s">
        <v>553</v>
      </c>
      <c r="N421" s="293"/>
      <c r="O421" s="285"/>
      <c r="AA421" s="292"/>
      <c r="AB421" s="279" t="s">
        <v>553</v>
      </c>
      <c r="AC421" s="293"/>
      <c r="AD421" s="245"/>
    </row>
    <row r="422" spans="2:30" x14ac:dyDescent="0.25">
      <c r="B422" s="281">
        <v>3759</v>
      </c>
      <c r="C422" s="1" t="s">
        <v>507</v>
      </c>
      <c r="D422" s="31">
        <f>+insumos!$G$284</f>
        <v>1.1352416613292604</v>
      </c>
      <c r="E422" s="245"/>
      <c r="L422" s="319"/>
      <c r="M422" s="320" t="s">
        <v>718</v>
      </c>
      <c r="N422" s="321"/>
      <c r="O422" s="291" t="s">
        <v>755</v>
      </c>
      <c r="AA422" s="26"/>
      <c r="AB422" s="30"/>
      <c r="AC422" s="283"/>
      <c r="AD422" s="1"/>
    </row>
    <row r="423" spans="2:30" x14ac:dyDescent="0.25">
      <c r="B423" s="281">
        <v>4653</v>
      </c>
      <c r="C423" s="282" t="s">
        <v>525</v>
      </c>
      <c r="D423" s="283">
        <f>insumos!$H$254*4</f>
        <v>0.7456238442293049</v>
      </c>
      <c r="E423" s="284" t="s">
        <v>531</v>
      </c>
      <c r="L423" s="26" t="s">
        <v>566</v>
      </c>
      <c r="M423" s="30" t="s">
        <v>567</v>
      </c>
      <c r="N423" s="283">
        <f>insumos!$H$113*13</f>
        <v>0.3511229002082289</v>
      </c>
      <c r="O423" s="291" t="s">
        <v>755</v>
      </c>
      <c r="AA423" s="26"/>
      <c r="AB423" s="30"/>
      <c r="AC423" s="283"/>
      <c r="AD423" s="1"/>
    </row>
    <row r="424" spans="2:30" x14ac:dyDescent="0.25">
      <c r="B424" s="281">
        <v>4541</v>
      </c>
      <c r="C424" s="282" t="s">
        <v>529</v>
      </c>
      <c r="D424" s="283">
        <f>insumos!$H$43</f>
        <v>0.022058823529411766</v>
      </c>
      <c r="E424" s="245"/>
      <c r="L424" s="297"/>
      <c r="M424" s="303" t="s">
        <v>5</v>
      </c>
      <c r="N424" s="299">
        <f>SUM(N415:N423)</f>
        <v>2.518511990034243</v>
      </c>
      <c r="O424" s="245"/>
      <c r="AA424" s="297"/>
      <c r="AB424" s="298" t="s">
        <v>5</v>
      </c>
      <c r="AC424" s="299">
        <f>SUM(AC415:AC423)</f>
        <v>1.3723890898260136</v>
      </c>
      <c r="AD424" s="245"/>
    </row>
    <row r="425" spans="2:30" x14ac:dyDescent="0.25">
      <c r="B425" s="26">
        <v>3817</v>
      </c>
      <c r="C425" s="243" t="s">
        <v>524</v>
      </c>
      <c r="D425" s="289">
        <f>insumos!$I$103*1.8</f>
        <v>0.02088</v>
      </c>
      <c r="E425" s="1" t="s">
        <v>538</v>
      </c>
      <c r="L425" s="281"/>
      <c r="M425" s="286" t="s">
        <v>587</v>
      </c>
      <c r="N425" s="281">
        <f>583.44/33</f>
        <v>17.680000000000003</v>
      </c>
      <c r="O425" s="245"/>
      <c r="AA425" s="281"/>
      <c r="AB425" s="282" t="s">
        <v>587</v>
      </c>
      <c r="AC425" s="304">
        <f>217064.81/12638</f>
        <v>17.175566545339453</v>
      </c>
      <c r="AD425" s="245"/>
    </row>
    <row r="426" spans="2:30" x14ac:dyDescent="0.25">
      <c r="B426" s="26">
        <v>2173</v>
      </c>
      <c r="C426" s="243" t="s">
        <v>536</v>
      </c>
      <c r="D426" s="289">
        <f>+insumos!$H$149*2</f>
        <v>0.0349502662966019</v>
      </c>
      <c r="E426" s="1" t="s">
        <v>547</v>
      </c>
      <c r="L426" s="281"/>
      <c r="M426" s="310" t="s">
        <v>599</v>
      </c>
      <c r="N426" s="308">
        <f>+N424/N425</f>
        <v>0.14244977319198204</v>
      </c>
      <c r="O426" s="245"/>
      <c r="AA426" s="281"/>
      <c r="AB426" s="307" t="s">
        <v>599</v>
      </c>
      <c r="AC426" s="308">
        <f>+AC424/AC425</f>
        <v>0.07990357035403924</v>
      </c>
      <c r="AD426" s="245"/>
    </row>
    <row r="427" spans="2:30" x14ac:dyDescent="0.25">
      <c r="B427" s="281">
        <v>3636</v>
      </c>
      <c r="C427" s="282" t="s">
        <v>550</v>
      </c>
      <c r="D427" s="283">
        <f>+insumos!$H$121</f>
        <v>0.0445</v>
      </c>
      <c r="L427" s="311"/>
      <c r="M427" s="310" t="s">
        <v>604</v>
      </c>
      <c r="N427" s="308">
        <f>N426*1.03</f>
        <v>0.1467232663877415</v>
      </c>
      <c r="O427" s="245"/>
      <c r="AA427" s="311"/>
      <c r="AB427" s="307" t="s">
        <v>604</v>
      </c>
      <c r="AC427" s="308">
        <f>AC426*1.03</f>
        <v>0.08230067746466041</v>
      </c>
      <c r="AD427" s="245"/>
    </row>
    <row r="428" spans="2:4" x14ac:dyDescent="0.25">
      <c r="B428" s="294"/>
      <c r="C428" s="279" t="s">
        <v>553</v>
      </c>
      <c r="D428" s="295"/>
    </row>
    <row r="429" spans="2:30" x14ac:dyDescent="0.25">
      <c r="B429" s="26" t="s">
        <v>901</v>
      </c>
      <c r="C429" s="1" t="s">
        <v>902</v>
      </c>
      <c r="D429" s="31">
        <f>insumos!H182*15</f>
        <v>1.47</v>
      </c>
      <c r="E429" s="296" t="s">
        <v>593</v>
      </c>
      <c r="L429" s="263">
        <v>436738</v>
      </c>
      <c r="M429" s="264" t="s">
        <v>903</v>
      </c>
      <c r="N429" s="265"/>
      <c r="O429" s="245"/>
      <c r="AA429" s="263">
        <v>991360</v>
      </c>
      <c r="AB429" s="264" t="s">
        <v>904</v>
      </c>
      <c r="AC429" s="267"/>
      <c r="AD429" s="245"/>
    </row>
    <row r="430" spans="2:30" x14ac:dyDescent="0.25">
      <c r="B430" s="281">
        <v>5202</v>
      </c>
      <c r="C430" s="282" t="s">
        <v>586</v>
      </c>
      <c r="D430" s="31">
        <f>insumos!$H$114*15</f>
        <v>0.39517142857142856</v>
      </c>
      <c r="E430" s="296" t="s">
        <v>593</v>
      </c>
      <c r="L430" s="275" t="s">
        <v>492</v>
      </c>
      <c r="M430" s="277" t="s">
        <v>495</v>
      </c>
      <c r="N430" s="275" t="s">
        <v>467</v>
      </c>
      <c r="O430" s="245"/>
      <c r="AA430" s="275" t="s">
        <v>492</v>
      </c>
      <c r="AB430" s="276" t="s">
        <v>495</v>
      </c>
      <c r="AC430" s="275" t="s">
        <v>467</v>
      </c>
      <c r="AD430" s="245"/>
    </row>
    <row r="431" spans="2:30" x14ac:dyDescent="0.25">
      <c r="B431" s="26" t="s">
        <v>712</v>
      </c>
      <c r="C431" s="1" t="s">
        <v>713</v>
      </c>
      <c r="D431" s="31">
        <f>insumos!$H$241*15</f>
        <v>2.775</v>
      </c>
      <c r="E431" s="296" t="s">
        <v>593</v>
      </c>
      <c r="L431" s="278"/>
      <c r="M431" s="280" t="s">
        <v>134</v>
      </c>
      <c r="N431" s="278"/>
      <c r="O431" s="245"/>
      <c r="AA431" s="278"/>
      <c r="AB431" s="279" t="s">
        <v>134</v>
      </c>
      <c r="AC431" s="278"/>
      <c r="AD431" s="245"/>
    </row>
    <row r="432" spans="2:30" x14ac:dyDescent="0.25">
      <c r="B432" s="297"/>
      <c r="C432" s="298" t="s">
        <v>5</v>
      </c>
      <c r="D432" s="299">
        <f>SUM(D421:D431)</f>
        <v>7.479013212568107</v>
      </c>
      <c r="L432" s="281">
        <v>5524</v>
      </c>
      <c r="M432" s="1" t="s">
        <v>501</v>
      </c>
      <c r="N432" s="283">
        <f>insumos!$H$217</f>
        <v>0.8950000000000001</v>
      </c>
      <c r="O432" s="285"/>
      <c r="AA432" s="281">
        <v>6184</v>
      </c>
      <c r="AB432" s="1" t="s">
        <v>502</v>
      </c>
      <c r="AC432" s="283">
        <f>insumos!$H$215</f>
        <v>0.6</v>
      </c>
      <c r="AD432" s="245"/>
    </row>
    <row r="433" spans="2:30" x14ac:dyDescent="0.25">
      <c r="B433" s="281"/>
      <c r="C433" s="282" t="s">
        <v>587</v>
      </c>
      <c r="D433" s="304">
        <f>29396.42/2861</f>
        <v>10.274875917511359</v>
      </c>
      <c r="L433" s="26" t="s">
        <v>513</v>
      </c>
      <c r="M433" s="30" t="s">
        <v>514</v>
      </c>
      <c r="N433" s="283">
        <f>+insumos!$H$266</f>
        <v>1.1500000000000001</v>
      </c>
      <c r="O433" s="285"/>
      <c r="AA433" s="281">
        <v>2037</v>
      </c>
      <c r="AB433" s="282" t="s">
        <v>511</v>
      </c>
      <c r="AC433" s="283">
        <f>+insumos!$H$268</f>
        <v>0.65</v>
      </c>
      <c r="AD433" s="245"/>
    </row>
    <row r="434" spans="2:30" x14ac:dyDescent="0.25">
      <c r="B434" s="281"/>
      <c r="C434" s="307" t="s">
        <v>599</v>
      </c>
      <c r="D434" s="308">
        <f>+D432/D433</f>
        <v>0.7278932877254222</v>
      </c>
      <c r="E434" s="245"/>
      <c r="L434" s="281">
        <v>4542</v>
      </c>
      <c r="M434" s="286" t="s">
        <v>527</v>
      </c>
      <c r="N434" s="283">
        <f>insumos!$I$35</f>
        <v>0.022058823529411763</v>
      </c>
      <c r="O434" s="285"/>
      <c r="AA434" s="281">
        <v>4542</v>
      </c>
      <c r="AB434" s="282" t="s">
        <v>527</v>
      </c>
      <c r="AC434" s="283">
        <f>insumos!$I$35</f>
        <v>0.022058823529411763</v>
      </c>
      <c r="AD434" s="245"/>
    </row>
    <row r="435" spans="2:30" x14ac:dyDescent="0.25">
      <c r="B435" s="311"/>
      <c r="C435" s="307" t="s">
        <v>604</v>
      </c>
      <c r="D435" s="308">
        <f>D434*1.03</f>
        <v>0.7497300863571849</v>
      </c>
      <c r="E435" s="245"/>
      <c r="L435" s="26">
        <v>3817</v>
      </c>
      <c r="M435" s="288" t="s">
        <v>524</v>
      </c>
      <c r="N435" s="289">
        <f>insumos!$I$103*1.8</f>
        <v>0.02088</v>
      </c>
      <c r="O435" s="290" t="s">
        <v>537</v>
      </c>
      <c r="AA435" s="26">
        <v>3817</v>
      </c>
      <c r="AB435" s="243" t="s">
        <v>524</v>
      </c>
      <c r="AC435" s="289">
        <f>insumos!$I$103*1.8</f>
        <v>0.02088</v>
      </c>
      <c r="AD435" s="285" t="s">
        <v>538</v>
      </c>
    </row>
    <row r="436" spans="12:30" x14ac:dyDescent="0.25">
      <c r="L436" s="26">
        <v>2173</v>
      </c>
      <c r="M436" s="288" t="s">
        <v>536</v>
      </c>
      <c r="N436" s="289">
        <f>+insumos!$H$149*2</f>
        <v>0.0349502662966019</v>
      </c>
      <c r="O436" s="291" t="s">
        <v>547</v>
      </c>
      <c r="AA436" s="26">
        <v>2173</v>
      </c>
      <c r="AB436" s="243" t="s">
        <v>536</v>
      </c>
      <c r="AC436" s="289">
        <f>+insumos!$H$149*2</f>
        <v>0.0349502662966019</v>
      </c>
      <c r="AD436" s="1" t="s">
        <v>547</v>
      </c>
    </row>
    <row r="437" spans="2:30" x14ac:dyDescent="0.25">
      <c r="B437" s="259">
        <v>438560</v>
      </c>
      <c r="C437" s="260" t="s">
        <v>905</v>
      </c>
      <c r="D437" s="259">
        <v>635</v>
      </c>
      <c r="E437" s="272">
        <f>D437/E2</f>
        <v>15.772478887232987</v>
      </c>
      <c r="L437" s="281">
        <v>3636</v>
      </c>
      <c r="M437" s="286" t="s">
        <v>550</v>
      </c>
      <c r="N437" s="283">
        <f>+insumos!$H$121</f>
        <v>0.0445</v>
      </c>
      <c r="O437" s="285"/>
      <c r="AA437" s="281">
        <v>3636</v>
      </c>
      <c r="AB437" s="282" t="s">
        <v>550</v>
      </c>
      <c r="AC437" s="283">
        <f>+insumos!$H$121</f>
        <v>0.0445</v>
      </c>
      <c r="AD437" s="245"/>
    </row>
    <row r="438" spans="2:30" x14ac:dyDescent="0.25">
      <c r="B438" s="275" t="s">
        <v>492</v>
      </c>
      <c r="C438" s="276" t="s">
        <v>495</v>
      </c>
      <c r="D438" s="275" t="s">
        <v>467</v>
      </c>
      <c r="E438" s="245"/>
      <c r="L438" s="292"/>
      <c r="M438" s="280" t="s">
        <v>553</v>
      </c>
      <c r="N438" s="293"/>
      <c r="O438" s="285"/>
      <c r="AA438" s="292"/>
      <c r="AB438" s="279" t="s">
        <v>553</v>
      </c>
      <c r="AC438" s="293"/>
      <c r="AD438" s="245"/>
    </row>
    <row r="439" spans="2:30" x14ac:dyDescent="0.25">
      <c r="B439" s="278"/>
      <c r="C439" s="279" t="s">
        <v>134</v>
      </c>
      <c r="D439" s="278"/>
      <c r="E439" s="245"/>
      <c r="L439" s="319"/>
      <c r="M439" s="320" t="s">
        <v>906</v>
      </c>
      <c r="N439" s="321"/>
      <c r="O439" s="291"/>
      <c r="AA439" s="26" t="s">
        <v>653</v>
      </c>
      <c r="AB439" s="30" t="s">
        <v>654</v>
      </c>
      <c r="AC439" s="283">
        <f>insumos!$H$224</f>
        <v>0.1</v>
      </c>
      <c r="AD439" s="1"/>
    </row>
    <row r="440" spans="2:30" x14ac:dyDescent="0.25">
      <c r="B440" s="281">
        <v>6184</v>
      </c>
      <c r="C440" s="1" t="s">
        <v>502</v>
      </c>
      <c r="D440" s="283">
        <f>insumos!$H$215</f>
        <v>0.6</v>
      </c>
      <c r="E440" s="245"/>
      <c r="L440" s="319"/>
      <c r="M440" s="327"/>
      <c r="N440" s="321"/>
      <c r="O440" s="291"/>
      <c r="AA440" s="26"/>
      <c r="AB440" s="1"/>
      <c r="AC440" s="283"/>
      <c r="AD440" s="1"/>
    </row>
    <row r="441" spans="2:30" x14ac:dyDescent="0.25">
      <c r="B441" s="281">
        <v>5523</v>
      </c>
      <c r="C441" s="286" t="s">
        <v>508</v>
      </c>
      <c r="D441" s="283">
        <f>+insumos!$H$285</f>
        <v>1.1829611337771098</v>
      </c>
      <c r="E441" s="245"/>
      <c r="L441" s="297"/>
      <c r="M441" s="303" t="s">
        <v>5</v>
      </c>
      <c r="N441" s="299">
        <f>SUM(N432:N440)</f>
        <v>2.167389089826014</v>
      </c>
      <c r="O441" s="245"/>
      <c r="AA441" s="297"/>
      <c r="AB441" s="298" t="s">
        <v>5</v>
      </c>
      <c r="AC441" s="299">
        <f>SUM(AC432:AC440)</f>
        <v>1.4723890898260137</v>
      </c>
      <c r="AD441" s="245"/>
    </row>
    <row r="442" spans="2:30" x14ac:dyDescent="0.25">
      <c r="B442" s="281">
        <v>4542</v>
      </c>
      <c r="C442" s="286" t="s">
        <v>527</v>
      </c>
      <c r="D442" s="283">
        <f>insumos!$I$35</f>
        <v>0.022058823529411763</v>
      </c>
      <c r="E442" s="284"/>
      <c r="L442" s="281"/>
      <c r="M442" s="286" t="s">
        <v>587</v>
      </c>
      <c r="N442" s="281"/>
      <c r="O442" s="245"/>
      <c r="AA442" s="281"/>
      <c r="AB442" s="282" t="s">
        <v>587</v>
      </c>
      <c r="AC442" s="304">
        <f>345589.11/19878</f>
        <v>17.38550709326894</v>
      </c>
      <c r="AD442" s="245"/>
    </row>
    <row r="443" spans="2:30" x14ac:dyDescent="0.25">
      <c r="B443" s="281">
        <v>4986</v>
      </c>
      <c r="C443" s="1" t="s">
        <v>530</v>
      </c>
      <c r="D443" s="283">
        <f>insumos!$H$255*4</f>
        <v>0.7599995156520082</v>
      </c>
      <c r="E443" s="284" t="s">
        <v>531</v>
      </c>
      <c r="L443" s="281"/>
      <c r="M443" s="310" t="s">
        <v>599</v>
      </c>
      <c r="N443" s="308" t="e">
        <f>+N441/N442</f>
        <v>#DIV/0!</v>
      </c>
      <c r="O443" s="245"/>
      <c r="AA443" s="281"/>
      <c r="AB443" s="307" t="s">
        <v>599</v>
      </c>
      <c r="AC443" s="308">
        <f>+AC441/AC442</f>
        <v>0.0846906036117906</v>
      </c>
      <c r="AD443" s="245"/>
    </row>
    <row r="444" spans="2:30" x14ac:dyDescent="0.25">
      <c r="B444" s="26">
        <v>3817</v>
      </c>
      <c r="C444" s="243" t="s">
        <v>524</v>
      </c>
      <c r="D444" s="289">
        <f>insumos!$I$103*1.8</f>
        <v>0.02088</v>
      </c>
      <c r="E444" s="1" t="s">
        <v>538</v>
      </c>
      <c r="L444" s="311"/>
      <c r="M444" s="310" t="s">
        <v>604</v>
      </c>
      <c r="N444" s="308" t="e">
        <f>N443*1.03</f>
        <v>#DIV/0!</v>
      </c>
      <c r="O444" s="245"/>
      <c r="AA444" s="311"/>
      <c r="AB444" s="307" t="s">
        <v>604</v>
      </c>
      <c r="AC444" s="308">
        <f>AC443*1.03</f>
        <v>0.08723132172014432</v>
      </c>
      <c r="AD444" s="245"/>
    </row>
    <row r="445" spans="2:5" x14ac:dyDescent="0.25">
      <c r="B445" s="26">
        <v>2173</v>
      </c>
      <c r="C445" s="243" t="s">
        <v>536</v>
      </c>
      <c r="D445" s="289">
        <f>+insumos!$H$149*2</f>
        <v>0.0349502662966019</v>
      </c>
      <c r="E445" s="1" t="s">
        <v>547</v>
      </c>
    </row>
    <row r="446" spans="2:30" x14ac:dyDescent="0.25">
      <c r="B446" s="281">
        <v>3636</v>
      </c>
      <c r="C446" s="282" t="s">
        <v>550</v>
      </c>
      <c r="D446" s="283">
        <f>+insumos!$H$121</f>
        <v>0.0445</v>
      </c>
      <c r="L446" s="263">
        <v>436799</v>
      </c>
      <c r="M446" s="264" t="s">
        <v>907</v>
      </c>
      <c r="N446" s="265">
        <v>383</v>
      </c>
      <c r="O446" s="266">
        <f>N446/E2</f>
        <v>9.513164431197218</v>
      </c>
      <c r="AA446" s="263">
        <v>991390</v>
      </c>
      <c r="AB446" s="264" t="s">
        <v>908</v>
      </c>
      <c r="AC446" s="267"/>
      <c r="AD446" s="245"/>
    </row>
    <row r="447" spans="2:30" x14ac:dyDescent="0.25">
      <c r="B447" s="294"/>
      <c r="C447" s="279" t="s">
        <v>553</v>
      </c>
      <c r="D447" s="295"/>
      <c r="L447" s="275" t="s">
        <v>492</v>
      </c>
      <c r="M447" s="277" t="s">
        <v>495</v>
      </c>
      <c r="N447" s="275" t="s">
        <v>467</v>
      </c>
      <c r="O447" s="245"/>
      <c r="AA447" s="275" t="s">
        <v>492</v>
      </c>
      <c r="AB447" s="276" t="s">
        <v>495</v>
      </c>
      <c r="AC447" s="275" t="s">
        <v>467</v>
      </c>
      <c r="AD447" s="245"/>
    </row>
    <row r="448" spans="2:30" x14ac:dyDescent="0.25">
      <c r="B448" s="26" t="s">
        <v>708</v>
      </c>
      <c r="C448" s="1" t="s">
        <v>709</v>
      </c>
      <c r="D448" s="31">
        <f>insumos!H189*15</f>
        <v>1.2032727272727273</v>
      </c>
      <c r="E448" s="296" t="s">
        <v>593</v>
      </c>
      <c r="L448" s="278"/>
      <c r="M448" s="280" t="s">
        <v>134</v>
      </c>
      <c r="N448" s="278"/>
      <c r="O448" s="245"/>
      <c r="AA448" s="278"/>
      <c r="AB448" s="279" t="s">
        <v>134</v>
      </c>
      <c r="AC448" s="278"/>
      <c r="AD448" s="245"/>
    </row>
    <row r="449" spans="2:30" x14ac:dyDescent="0.25">
      <c r="B449" s="281">
        <v>5202</v>
      </c>
      <c r="C449" s="282" t="s">
        <v>586</v>
      </c>
      <c r="D449" s="31">
        <f>insumos!$H$114*15</f>
        <v>0.39517142857142856</v>
      </c>
      <c r="E449" s="296" t="s">
        <v>593</v>
      </c>
      <c r="L449" s="26" t="s">
        <v>889</v>
      </c>
      <c r="M449" s="30" t="s">
        <v>890</v>
      </c>
      <c r="N449" s="283">
        <f>insumos!$H$212</f>
        <v>0.7437218609304652</v>
      </c>
      <c r="O449" s="285"/>
      <c r="AA449" s="281">
        <v>6184</v>
      </c>
      <c r="AB449" s="1" t="s">
        <v>502</v>
      </c>
      <c r="AC449" s="283">
        <f>insumos!$H$215</f>
        <v>0.6</v>
      </c>
      <c r="AD449" s="245"/>
    </row>
    <row r="450" spans="2:30" x14ac:dyDescent="0.25">
      <c r="B450" s="26" t="s">
        <v>569</v>
      </c>
      <c r="C450" s="1" t="s">
        <v>570</v>
      </c>
      <c r="D450" s="31">
        <f>insumos!$H$90*15</f>
        <v>4.620000000000001</v>
      </c>
      <c r="E450" s="296" t="s">
        <v>593</v>
      </c>
      <c r="L450" s="26" t="s">
        <v>509</v>
      </c>
      <c r="M450" s="30" t="s">
        <v>510</v>
      </c>
      <c r="N450" s="283">
        <f>+insumos!$H$267</f>
        <v>1.2</v>
      </c>
      <c r="O450" s="285"/>
      <c r="AA450" s="281">
        <v>2037</v>
      </c>
      <c r="AB450" s="282" t="s">
        <v>511</v>
      </c>
      <c r="AC450" s="283">
        <f>+insumos!$H$268</f>
        <v>0.65</v>
      </c>
      <c r="AD450" s="245"/>
    </row>
    <row r="451" spans="2:30" x14ac:dyDescent="0.25">
      <c r="B451" s="297"/>
      <c r="C451" s="298" t="s">
        <v>5</v>
      </c>
      <c r="D451" s="299">
        <f>SUM(D440:D450)</f>
        <v>8.883793895099288</v>
      </c>
      <c r="L451" s="281">
        <v>4541</v>
      </c>
      <c r="M451" s="282" t="s">
        <v>528</v>
      </c>
      <c r="N451" s="283">
        <f>insumos!$H$43</f>
        <v>0.022058823529411766</v>
      </c>
      <c r="O451" s="285"/>
      <c r="AA451" s="26" t="s">
        <v>533</v>
      </c>
      <c r="AB451" s="30" t="s">
        <v>534</v>
      </c>
      <c r="AC451" s="283">
        <f>insumos!$I$33</f>
        <v>0.049999554426770045</v>
      </c>
      <c r="AD451" s="287"/>
    </row>
    <row r="452" spans="2:30" x14ac:dyDescent="0.25">
      <c r="B452" s="281"/>
      <c r="C452" s="282" t="s">
        <v>587</v>
      </c>
      <c r="D452" s="304">
        <f>68679.08/4702</f>
        <v>14.606354742662697</v>
      </c>
      <c r="L452" s="26">
        <v>3817</v>
      </c>
      <c r="M452" s="288" t="s">
        <v>524</v>
      </c>
      <c r="N452" s="289">
        <f>insumos!$I$103*1.8</f>
        <v>0.02088</v>
      </c>
      <c r="O452" s="290" t="s">
        <v>537</v>
      </c>
      <c r="AA452" s="26">
        <v>3817</v>
      </c>
      <c r="AB452" s="243" t="s">
        <v>524</v>
      </c>
      <c r="AC452" s="289">
        <f>insumos!$I$103*1.8</f>
        <v>0.02088</v>
      </c>
      <c r="AD452" s="285" t="s">
        <v>538</v>
      </c>
    </row>
    <row r="453" spans="2:30" x14ac:dyDescent="0.25">
      <c r="B453" s="281"/>
      <c r="C453" s="307" t="s">
        <v>599</v>
      </c>
      <c r="D453" s="308">
        <f>+D451/D452</f>
        <v>0.6082143047745667</v>
      </c>
      <c r="E453" s="245"/>
      <c r="L453" s="26">
        <v>2173</v>
      </c>
      <c r="M453" s="288" t="s">
        <v>536</v>
      </c>
      <c r="N453" s="289">
        <f>+insumos!$H$149*2</f>
        <v>0.0349502662966019</v>
      </c>
      <c r="O453" s="291" t="s">
        <v>547</v>
      </c>
      <c r="AA453" s="26">
        <v>2173</v>
      </c>
      <c r="AB453" s="243" t="s">
        <v>536</v>
      </c>
      <c r="AC453" s="289">
        <f>+insumos!$H$149*2</f>
        <v>0.0349502662966019</v>
      </c>
      <c r="AD453" s="1" t="s">
        <v>547</v>
      </c>
    </row>
    <row r="454" spans="2:30" x14ac:dyDescent="0.25">
      <c r="B454" s="311"/>
      <c r="C454" s="307" t="s">
        <v>604</v>
      </c>
      <c r="D454" s="308">
        <f>D453*1.03</f>
        <v>0.6264607339178038</v>
      </c>
      <c r="E454" s="245"/>
      <c r="L454" s="281">
        <v>3636</v>
      </c>
      <c r="M454" s="286" t="s">
        <v>550</v>
      </c>
      <c r="N454" s="283">
        <f>+insumos!$H$121</f>
        <v>0.0445</v>
      </c>
      <c r="O454" s="285"/>
      <c r="AA454" s="281">
        <v>3636</v>
      </c>
      <c r="AB454" s="282" t="s">
        <v>550</v>
      </c>
      <c r="AC454" s="283">
        <f>+insumos!$H$121</f>
        <v>0.0445</v>
      </c>
      <c r="AD454" s="245"/>
    </row>
    <row r="455" spans="12:30" x14ac:dyDescent="0.25">
      <c r="L455" s="292"/>
      <c r="M455" s="280" t="s">
        <v>553</v>
      </c>
      <c r="N455" s="293"/>
      <c r="O455" s="285"/>
      <c r="AA455" s="292"/>
      <c r="AB455" s="279" t="s">
        <v>553</v>
      </c>
      <c r="AC455" s="293"/>
      <c r="AD455" s="245"/>
    </row>
    <row r="456" spans="2:30" x14ac:dyDescent="0.25">
      <c r="B456" s="259">
        <v>438460</v>
      </c>
      <c r="C456" s="260" t="s">
        <v>909</v>
      </c>
      <c r="D456" s="259">
        <v>675</v>
      </c>
      <c r="E456" s="272">
        <f>D456/E2</f>
        <v>16.76602086438152</v>
      </c>
      <c r="L456" s="26" t="s">
        <v>693</v>
      </c>
      <c r="M456" s="1" t="s">
        <v>694</v>
      </c>
      <c r="N456" s="283">
        <f>insumos!$H$67*21</f>
        <v>1.281019535937226</v>
      </c>
      <c r="O456" s="291" t="s">
        <v>660</v>
      </c>
      <c r="AA456" s="26"/>
      <c r="AB456" s="30"/>
      <c r="AC456" s="283"/>
      <c r="AD456" s="1"/>
    </row>
    <row r="457" spans="2:30" x14ac:dyDescent="0.25">
      <c r="B457" s="275" t="s">
        <v>492</v>
      </c>
      <c r="C457" s="276" t="s">
        <v>495</v>
      </c>
      <c r="D457" s="275" t="s">
        <v>467</v>
      </c>
      <c r="E457" s="245"/>
      <c r="L457" s="26" t="s">
        <v>566</v>
      </c>
      <c r="M457" s="30" t="s">
        <v>567</v>
      </c>
      <c r="N457" s="283">
        <f>insumos!$H$113*21</f>
        <v>0.5671985311056005</v>
      </c>
      <c r="O457" s="291" t="s">
        <v>660</v>
      </c>
      <c r="AA457" s="26"/>
      <c r="AB457" s="30"/>
      <c r="AC457" s="283"/>
      <c r="AD457" s="1"/>
    </row>
    <row r="458" spans="2:30" x14ac:dyDescent="0.25">
      <c r="B458" s="278"/>
      <c r="C458" s="279" t="s">
        <v>134</v>
      </c>
      <c r="D458" s="278"/>
      <c r="E458" s="245"/>
      <c r="L458" s="297"/>
      <c r="M458" s="303" t="s">
        <v>5</v>
      </c>
      <c r="N458" s="299">
        <f>SUM(N449:N457)</f>
        <v>3.9143290177993055</v>
      </c>
      <c r="O458" s="245"/>
      <c r="AA458" s="297"/>
      <c r="AB458" s="298" t="s">
        <v>5</v>
      </c>
      <c r="AC458" s="299">
        <f>SUM(AC449:AC457)</f>
        <v>1.4003298207233719</v>
      </c>
      <c r="AD458" s="245"/>
    </row>
    <row r="459" spans="2:30" x14ac:dyDescent="0.25">
      <c r="B459" s="281">
        <v>3741</v>
      </c>
      <c r="C459" s="282" t="s">
        <v>500</v>
      </c>
      <c r="D459" s="31">
        <f>insumos!$G$213</f>
        <v>0.8355871886120997</v>
      </c>
      <c r="E459" s="245"/>
      <c r="L459" s="281"/>
      <c r="M459" s="286" t="s">
        <v>587</v>
      </c>
      <c r="N459" s="304">
        <f>2233.69/174</f>
        <v>12.837298850574713</v>
      </c>
      <c r="O459" s="245"/>
      <c r="AA459" s="281"/>
      <c r="AB459" s="282" t="s">
        <v>587</v>
      </c>
      <c r="AC459" s="304">
        <f>140539.65/5165</f>
        <v>27.209999999999997</v>
      </c>
      <c r="AD459" s="245"/>
    </row>
    <row r="460" spans="2:30" x14ac:dyDescent="0.25">
      <c r="B460" s="281">
        <v>3759</v>
      </c>
      <c r="C460" s="1" t="s">
        <v>507</v>
      </c>
      <c r="D460" s="31">
        <f>+insumos!$G$284</f>
        <v>1.1352416613292604</v>
      </c>
      <c r="E460" s="245"/>
      <c r="L460" s="281"/>
      <c r="M460" s="310" t="s">
        <v>599</v>
      </c>
      <c r="N460" s="308">
        <f>+N458/N459</f>
        <v>0.30491843053292045</v>
      </c>
      <c r="O460" s="245"/>
      <c r="AA460" s="281"/>
      <c r="AB460" s="307" t="s">
        <v>599</v>
      </c>
      <c r="AC460" s="308">
        <f>+AC458/AC459</f>
        <v>0.05146379348487218</v>
      </c>
      <c r="AD460" s="245"/>
    </row>
    <row r="461" spans="2:30" x14ac:dyDescent="0.25">
      <c r="B461" s="281">
        <v>4653</v>
      </c>
      <c r="C461" s="282" t="s">
        <v>525</v>
      </c>
      <c r="D461" s="283">
        <f>insumos!$H$254*4</f>
        <v>0.7456238442293049</v>
      </c>
      <c r="E461" s="284" t="s">
        <v>531</v>
      </c>
      <c r="L461" s="311"/>
      <c r="M461" s="310" t="s">
        <v>604</v>
      </c>
      <c r="N461" s="308">
        <f>N460*1.03</f>
        <v>0.31406598344890807</v>
      </c>
      <c r="O461" s="245"/>
      <c r="AA461" s="311"/>
      <c r="AB461" s="307" t="s">
        <v>604</v>
      </c>
      <c r="AC461" s="308">
        <f>AC460*1.03</f>
        <v>0.053007707289418345</v>
      </c>
      <c r="AD461" s="245"/>
    </row>
    <row r="462" spans="2:5" x14ac:dyDescent="0.25">
      <c r="B462" s="281">
        <v>4541</v>
      </c>
      <c r="C462" s="282" t="s">
        <v>529</v>
      </c>
      <c r="D462" s="283">
        <f>insumos!$H$43</f>
        <v>0.022058823529411766</v>
      </c>
      <c r="E462" s="245"/>
    </row>
    <row r="463" spans="2:30" x14ac:dyDescent="0.25">
      <c r="B463" s="26">
        <v>3817</v>
      </c>
      <c r="C463" s="243" t="s">
        <v>524</v>
      </c>
      <c r="D463" s="289">
        <f>insumos!$I$103*1.8</f>
        <v>0.02088</v>
      </c>
      <c r="E463" s="1" t="s">
        <v>538</v>
      </c>
      <c r="L463" s="263">
        <v>436831</v>
      </c>
      <c r="M463" s="264" t="s">
        <v>910</v>
      </c>
      <c r="N463" s="265"/>
      <c r="O463" s="245"/>
      <c r="AA463" s="263">
        <v>991421</v>
      </c>
      <c r="AB463" s="264" t="s">
        <v>911</v>
      </c>
      <c r="AC463" s="267"/>
      <c r="AD463" s="245"/>
    </row>
    <row r="464" spans="2:30" x14ac:dyDescent="0.25">
      <c r="B464" s="26">
        <v>2173</v>
      </c>
      <c r="C464" s="243" t="s">
        <v>536</v>
      </c>
      <c r="D464" s="289">
        <f>+insumos!$H$149*2</f>
        <v>0.0349502662966019</v>
      </c>
      <c r="E464" s="1" t="s">
        <v>547</v>
      </c>
      <c r="L464" s="275" t="s">
        <v>492</v>
      </c>
      <c r="M464" s="277" t="s">
        <v>495</v>
      </c>
      <c r="N464" s="275" t="s">
        <v>467</v>
      </c>
      <c r="O464" s="245"/>
      <c r="AA464" s="275" t="s">
        <v>492</v>
      </c>
      <c r="AB464" s="276" t="s">
        <v>495</v>
      </c>
      <c r="AC464" s="275" t="s">
        <v>467</v>
      </c>
      <c r="AD464" s="245"/>
    </row>
    <row r="465" spans="2:30" x14ac:dyDescent="0.25">
      <c r="B465" s="281">
        <v>3636</v>
      </c>
      <c r="C465" s="282" t="s">
        <v>550</v>
      </c>
      <c r="D465" s="283">
        <f>+insumos!$H$121</f>
        <v>0.0445</v>
      </c>
      <c r="L465" s="278"/>
      <c r="M465" s="280" t="s">
        <v>134</v>
      </c>
      <c r="N465" s="278"/>
      <c r="O465" s="245"/>
      <c r="AA465" s="278"/>
      <c r="AB465" s="279" t="s">
        <v>134</v>
      </c>
      <c r="AC465" s="278"/>
      <c r="AD465" s="245"/>
    </row>
    <row r="466" spans="2:30" x14ac:dyDescent="0.25">
      <c r="B466" s="294"/>
      <c r="C466" s="279" t="s">
        <v>553</v>
      </c>
      <c r="D466" s="295"/>
      <c r="L466" s="281">
        <v>3741</v>
      </c>
      <c r="M466" s="282" t="s">
        <v>500</v>
      </c>
      <c r="N466" s="283">
        <f>insumos!$G$213</f>
        <v>0.8355871886120997</v>
      </c>
      <c r="O466" s="285"/>
      <c r="AA466" s="281">
        <v>6184</v>
      </c>
      <c r="AB466" s="1" t="s">
        <v>502</v>
      </c>
      <c r="AC466" s="283">
        <f>insumos!$H$215</f>
        <v>0.6</v>
      </c>
      <c r="AD466" s="245"/>
    </row>
    <row r="467" spans="2:30" x14ac:dyDescent="0.25">
      <c r="B467" s="26" t="s">
        <v>901</v>
      </c>
      <c r="C467" s="1" t="s">
        <v>902</v>
      </c>
      <c r="D467" s="31">
        <f>insumos!$H$183*12</f>
        <v>1.1270553672316383</v>
      </c>
      <c r="E467" s="296" t="s">
        <v>568</v>
      </c>
      <c r="L467" s="26" t="s">
        <v>509</v>
      </c>
      <c r="M467" s="30" t="s">
        <v>510</v>
      </c>
      <c r="N467" s="283">
        <f>+insumos!$H$267</f>
        <v>1.2</v>
      </c>
      <c r="O467" s="285"/>
      <c r="AA467" s="281">
        <v>2037</v>
      </c>
      <c r="AB467" s="282" t="s">
        <v>511</v>
      </c>
      <c r="AC467" s="283">
        <f>+insumos!$H$268</f>
        <v>0.65</v>
      </c>
      <c r="AD467" s="245"/>
    </row>
    <row r="468" spans="2:30" x14ac:dyDescent="0.25">
      <c r="B468" s="281">
        <v>5202</v>
      </c>
      <c r="C468" s="282" t="s">
        <v>586</v>
      </c>
      <c r="D468" s="31">
        <f>insumos!$H$114*12</f>
        <v>0.3161371428571429</v>
      </c>
      <c r="E468" s="296" t="s">
        <v>568</v>
      </c>
      <c r="L468" s="281">
        <v>4541</v>
      </c>
      <c r="M468" s="282" t="s">
        <v>528</v>
      </c>
      <c r="N468" s="283">
        <f>insumos!$H$43</f>
        <v>0.022058823529411766</v>
      </c>
      <c r="O468" s="285"/>
      <c r="AA468" s="281">
        <v>4542</v>
      </c>
      <c r="AB468" s="282" t="s">
        <v>527</v>
      </c>
      <c r="AC468" s="283">
        <f>insumos!$I$35</f>
        <v>0.022058823529411763</v>
      </c>
      <c r="AD468" s="245"/>
    </row>
    <row r="469" spans="2:30" x14ac:dyDescent="0.25">
      <c r="B469" s="281">
        <v>6229</v>
      </c>
      <c r="C469" s="30" t="s">
        <v>588</v>
      </c>
      <c r="D469" s="31">
        <f>insumos!$I$265*12</f>
        <v>0.25825519982429496</v>
      </c>
      <c r="E469" s="296" t="s">
        <v>568</v>
      </c>
      <c r="L469" s="26">
        <v>3817</v>
      </c>
      <c r="M469" s="288" t="s">
        <v>524</v>
      </c>
      <c r="N469" s="289">
        <f>insumos!$I$103*1.8</f>
        <v>0.02088</v>
      </c>
      <c r="O469" s="290" t="s">
        <v>537</v>
      </c>
      <c r="AA469" s="26">
        <v>3817</v>
      </c>
      <c r="AB469" s="243" t="s">
        <v>524</v>
      </c>
      <c r="AC469" s="289">
        <f>insumos!$I$103*1.8</f>
        <v>0.02088</v>
      </c>
      <c r="AD469" s="285" t="s">
        <v>538</v>
      </c>
    </row>
    <row r="470" spans="2:30" x14ac:dyDescent="0.25">
      <c r="B470" s="281">
        <v>6254</v>
      </c>
      <c r="C470" s="30" t="s">
        <v>600</v>
      </c>
      <c r="D470" s="31">
        <f>+insumos!$I$208*12</f>
        <v>0.5334893983701396</v>
      </c>
      <c r="E470" s="296" t="s">
        <v>568</v>
      </c>
      <c r="L470" s="26">
        <v>2173</v>
      </c>
      <c r="M470" s="288" t="s">
        <v>536</v>
      </c>
      <c r="N470" s="289">
        <f>+insumos!$H$149*2</f>
        <v>0.0349502662966019</v>
      </c>
      <c r="O470" s="291" t="s">
        <v>547</v>
      </c>
      <c r="AA470" s="26">
        <v>2173</v>
      </c>
      <c r="AB470" s="243" t="s">
        <v>536</v>
      </c>
      <c r="AC470" s="289">
        <f>+insumos!$H$149*2</f>
        <v>0.0349502662966019</v>
      </c>
      <c r="AD470" s="1" t="s">
        <v>547</v>
      </c>
    </row>
    <row r="471" spans="2:30" x14ac:dyDescent="0.25">
      <c r="B471" s="297"/>
      <c r="C471" s="298" t="s">
        <v>5</v>
      </c>
      <c r="D471" s="299">
        <f>SUM(D459:D470)</f>
        <v>5.073778892279894</v>
      </c>
      <c r="L471" s="281">
        <v>3636</v>
      </c>
      <c r="M471" s="286" t="s">
        <v>550</v>
      </c>
      <c r="N471" s="283">
        <f>+insumos!$H$121</f>
        <v>0.0445</v>
      </c>
      <c r="O471" s="285"/>
      <c r="AA471" s="281">
        <v>3636</v>
      </c>
      <c r="AB471" s="282" t="s">
        <v>550</v>
      </c>
      <c r="AC471" s="283">
        <f>+insumos!$H$121</f>
        <v>0.0445</v>
      </c>
      <c r="AD471" s="245"/>
    </row>
    <row r="472" spans="2:30" x14ac:dyDescent="0.25">
      <c r="B472" s="281"/>
      <c r="C472" s="282" t="s">
        <v>587</v>
      </c>
      <c r="D472" s="304">
        <f>56175.05/6509</f>
        <v>8.630365647564911</v>
      </c>
      <c r="E472" s="245"/>
      <c r="L472" s="292"/>
      <c r="M472" s="280" t="s">
        <v>553</v>
      </c>
      <c r="N472" s="293"/>
      <c r="O472" s="285"/>
      <c r="AA472" s="292"/>
      <c r="AB472" s="279" t="s">
        <v>553</v>
      </c>
      <c r="AC472" s="293"/>
      <c r="AD472" s="245"/>
    </row>
    <row r="473" spans="2:30" x14ac:dyDescent="0.25">
      <c r="B473" s="281"/>
      <c r="C473" s="307" t="s">
        <v>599</v>
      </c>
      <c r="D473" s="308">
        <f>+D471/D472</f>
        <v>0.5878984853569303</v>
      </c>
      <c r="E473" s="245"/>
      <c r="L473" s="26" t="s">
        <v>558</v>
      </c>
      <c r="M473" s="1" t="s">
        <v>559</v>
      </c>
      <c r="N473" s="283">
        <f>insumos!$H$65*8</f>
        <v>1.1039983768821644</v>
      </c>
      <c r="O473" s="291" t="s">
        <v>561</v>
      </c>
      <c r="AA473" s="26" t="s">
        <v>653</v>
      </c>
      <c r="AB473" s="30" t="s">
        <v>654</v>
      </c>
      <c r="AC473" s="283">
        <f>insumos!$H$224*12</f>
        <v>1.2000000000000002</v>
      </c>
      <c r="AD473" s="1" t="s">
        <v>568</v>
      </c>
    </row>
    <row r="474" spans="2:30" x14ac:dyDescent="0.25">
      <c r="B474" s="311"/>
      <c r="C474" s="307" t="s">
        <v>604</v>
      </c>
      <c r="D474" s="308">
        <f>D473*1.03</f>
        <v>0.6055354399176383</v>
      </c>
      <c r="L474" s="26" t="s">
        <v>566</v>
      </c>
      <c r="M474" s="30" t="s">
        <v>567</v>
      </c>
      <c r="N474" s="283">
        <f>insumos!$H$113*8</f>
        <v>0.2160756308973716</v>
      </c>
      <c r="O474" s="291" t="s">
        <v>561</v>
      </c>
      <c r="AA474" s="26" t="s">
        <v>574</v>
      </c>
      <c r="AB474" s="1" t="s">
        <v>575</v>
      </c>
      <c r="AC474" s="283">
        <f>insumos!$H$120*12</f>
        <v>0.2388</v>
      </c>
      <c r="AD474" s="1" t="s">
        <v>568</v>
      </c>
    </row>
    <row r="475" spans="12:30" x14ac:dyDescent="0.25">
      <c r="L475" s="297"/>
      <c r="M475" s="303" t="s">
        <v>5</v>
      </c>
      <c r="N475" s="299">
        <f>SUM(N466:N474)</f>
        <v>3.4780502862176497</v>
      </c>
      <c r="O475" s="245"/>
      <c r="AA475" s="297"/>
      <c r="AB475" s="298" t="s">
        <v>5</v>
      </c>
      <c r="AC475" s="299">
        <f>SUM(AC466:AC474)</f>
        <v>2.8111890898260135</v>
      </c>
      <c r="AD475" s="245"/>
    </row>
    <row r="476" spans="2:30" x14ac:dyDescent="0.25">
      <c r="B476" s="259">
        <v>438925</v>
      </c>
      <c r="C476" s="260" t="s">
        <v>912</v>
      </c>
      <c r="D476" s="259">
        <v>700</v>
      </c>
      <c r="E476" s="272">
        <f>D476/E2</f>
        <v>17.386984600099353</v>
      </c>
      <c r="L476" s="281"/>
      <c r="M476" s="286" t="s">
        <v>587</v>
      </c>
      <c r="N476" s="304">
        <f>4039.68/282</f>
        <v>14.325106382978722</v>
      </c>
      <c r="O476" s="245"/>
      <c r="AA476" s="281"/>
      <c r="AB476" s="282" t="s">
        <v>587</v>
      </c>
      <c r="AC476" s="304">
        <f>190234.67/8880</f>
        <v>21.4228231981982</v>
      </c>
      <c r="AD476" s="245"/>
    </row>
    <row r="477" spans="2:30" x14ac:dyDescent="0.25">
      <c r="B477" s="275" t="s">
        <v>492</v>
      </c>
      <c r="C477" s="276" t="s">
        <v>495</v>
      </c>
      <c r="D477" s="275" t="s">
        <v>467</v>
      </c>
      <c r="E477" s="245"/>
      <c r="L477" s="281"/>
      <c r="M477" s="310" t="s">
        <v>599</v>
      </c>
      <c r="N477" s="308">
        <f>+N475/N476</f>
        <v>0.24279402841645312</v>
      </c>
      <c r="O477" s="245"/>
      <c r="AA477" s="281"/>
      <c r="AB477" s="307" t="s">
        <v>599</v>
      </c>
      <c r="AC477" s="308">
        <f>+AC475/AC476</f>
        <v>0.13122402513513967</v>
      </c>
      <c r="AD477" s="245"/>
    </row>
    <row r="478" spans="2:30" x14ac:dyDescent="0.25">
      <c r="B478" s="278"/>
      <c r="C478" s="279" t="s">
        <v>134</v>
      </c>
      <c r="D478" s="278"/>
      <c r="E478" s="245"/>
      <c r="L478" s="311"/>
      <c r="M478" s="310" t="s">
        <v>604</v>
      </c>
      <c r="N478" s="308">
        <f>N477*1.03</f>
        <v>0.2500778492689467</v>
      </c>
      <c r="O478" s="245"/>
      <c r="AA478" s="311"/>
      <c r="AB478" s="307" t="s">
        <v>604</v>
      </c>
      <c r="AC478" s="308">
        <f>AC477*1.03</f>
        <v>0.13516074588919386</v>
      </c>
      <c r="AD478" s="245"/>
    </row>
    <row r="479" spans="2:5" x14ac:dyDescent="0.25">
      <c r="B479" s="281">
        <v>3741</v>
      </c>
      <c r="C479" s="282" t="s">
        <v>500</v>
      </c>
      <c r="D479" s="31">
        <f>insumos!$G$213</f>
        <v>0.8355871886120997</v>
      </c>
      <c r="E479" s="245"/>
    </row>
    <row r="480" spans="2:30" x14ac:dyDescent="0.25">
      <c r="B480" s="281">
        <v>3759</v>
      </c>
      <c r="C480" s="1" t="s">
        <v>507</v>
      </c>
      <c r="D480" s="31">
        <f>+insumos!$G$284</f>
        <v>1.1352416613292604</v>
      </c>
      <c r="E480" s="245"/>
      <c r="L480" s="263">
        <v>436832</v>
      </c>
      <c r="M480" s="264" t="s">
        <v>913</v>
      </c>
      <c r="N480" s="265">
        <v>488</v>
      </c>
      <c r="O480" s="266">
        <f>N480/E2</f>
        <v>12.121212121212121</v>
      </c>
      <c r="AA480" s="263">
        <v>991434</v>
      </c>
      <c r="AB480" s="264" t="s">
        <v>914</v>
      </c>
      <c r="AC480" s="267"/>
      <c r="AD480" s="245"/>
    </row>
    <row r="481" spans="2:30" x14ac:dyDescent="0.25">
      <c r="B481" s="281">
        <v>4653</v>
      </c>
      <c r="C481" s="282" t="s">
        <v>525</v>
      </c>
      <c r="D481" s="283">
        <f>insumos!$H$254*3</f>
        <v>0.5592178831719787</v>
      </c>
      <c r="E481" s="284" t="s">
        <v>526</v>
      </c>
      <c r="L481" s="275" t="s">
        <v>492</v>
      </c>
      <c r="M481" s="277" t="s">
        <v>495</v>
      </c>
      <c r="N481" s="275" t="s">
        <v>467</v>
      </c>
      <c r="O481" s="245"/>
      <c r="AA481" s="275" t="s">
        <v>492</v>
      </c>
      <c r="AB481" s="276" t="s">
        <v>495</v>
      </c>
      <c r="AC481" s="275" t="s">
        <v>467</v>
      </c>
      <c r="AD481" s="245"/>
    </row>
    <row r="482" spans="2:30" x14ac:dyDescent="0.25">
      <c r="B482" s="281">
        <v>4541</v>
      </c>
      <c r="C482" s="282" t="s">
        <v>529</v>
      </c>
      <c r="D482" s="283">
        <f>insumos!$H$43</f>
        <v>0.022058823529411766</v>
      </c>
      <c r="E482" s="245"/>
      <c r="L482" s="278"/>
      <c r="M482" s="280" t="s">
        <v>134</v>
      </c>
      <c r="N482" s="278"/>
      <c r="O482" s="245"/>
      <c r="AA482" s="278"/>
      <c r="AB482" s="279" t="s">
        <v>134</v>
      </c>
      <c r="AC482" s="278"/>
      <c r="AD482" s="245"/>
    </row>
    <row r="483" spans="2:30" x14ac:dyDescent="0.25">
      <c r="B483" s="26">
        <v>3817</v>
      </c>
      <c r="C483" s="243" t="s">
        <v>524</v>
      </c>
      <c r="D483" s="289">
        <f>insumos!$I$103*1.8</f>
        <v>0.02088</v>
      </c>
      <c r="E483" s="1" t="s">
        <v>538</v>
      </c>
      <c r="L483" s="281">
        <v>5524</v>
      </c>
      <c r="M483" s="1" t="s">
        <v>501</v>
      </c>
      <c r="N483" s="283">
        <f>insumos!$H$217</f>
        <v>0.8950000000000001</v>
      </c>
      <c r="O483" s="285"/>
      <c r="AA483" s="281">
        <v>6184</v>
      </c>
      <c r="AB483" s="1" t="s">
        <v>502</v>
      </c>
      <c r="AC483" s="283">
        <f>insumos!$H$215</f>
        <v>0.6</v>
      </c>
      <c r="AD483" s="245"/>
    </row>
    <row r="484" spans="2:30" x14ac:dyDescent="0.25">
      <c r="B484" s="26">
        <v>2173</v>
      </c>
      <c r="C484" s="243" t="s">
        <v>536</v>
      </c>
      <c r="D484" s="289">
        <f>+insumos!$H$149*2</f>
        <v>0.0349502662966019</v>
      </c>
      <c r="E484" s="1" t="s">
        <v>547</v>
      </c>
      <c r="L484" s="26" t="s">
        <v>513</v>
      </c>
      <c r="M484" s="30" t="s">
        <v>514</v>
      </c>
      <c r="N484" s="283">
        <f>+insumos!$H$266</f>
        <v>1.1500000000000001</v>
      </c>
      <c r="O484" s="285"/>
      <c r="AA484" s="281">
        <v>2037</v>
      </c>
      <c r="AB484" s="282" t="s">
        <v>511</v>
      </c>
      <c r="AC484" s="283">
        <f>+insumos!$H$268</f>
        <v>0.65</v>
      </c>
      <c r="AD484" s="245"/>
    </row>
    <row r="485" spans="2:30" x14ac:dyDescent="0.25">
      <c r="B485" s="281">
        <v>3636</v>
      </c>
      <c r="C485" s="282" t="s">
        <v>550</v>
      </c>
      <c r="D485" s="283">
        <f>+insumos!$H$121</f>
        <v>0.0445</v>
      </c>
      <c r="L485" s="281">
        <v>4542</v>
      </c>
      <c r="M485" s="286" t="s">
        <v>527</v>
      </c>
      <c r="N485" s="283">
        <f>insumos!$I$35</f>
        <v>0.022058823529411763</v>
      </c>
      <c r="O485" s="285"/>
      <c r="AA485" s="281">
        <v>4542</v>
      </c>
      <c r="AB485" s="282" t="s">
        <v>527</v>
      </c>
      <c r="AC485" s="283">
        <f>insumos!$I$35</f>
        <v>0.022058823529411763</v>
      </c>
      <c r="AD485" s="245"/>
    </row>
    <row r="486" spans="2:30" x14ac:dyDescent="0.25">
      <c r="B486" s="294"/>
      <c r="C486" s="279" t="s">
        <v>553</v>
      </c>
      <c r="D486" s="295"/>
      <c r="L486" s="26">
        <v>3817</v>
      </c>
      <c r="M486" s="288" t="s">
        <v>524</v>
      </c>
      <c r="N486" s="289">
        <f>insumos!$I$103*1.8</f>
        <v>0.02088</v>
      </c>
      <c r="O486" s="290" t="s">
        <v>537</v>
      </c>
      <c r="AA486" s="26">
        <v>3817</v>
      </c>
      <c r="AB486" s="243" t="s">
        <v>524</v>
      </c>
      <c r="AC486" s="289">
        <f>insumos!$I$103*1.8</f>
        <v>0.02088</v>
      </c>
      <c r="AD486" s="285" t="s">
        <v>538</v>
      </c>
    </row>
    <row r="487" spans="2:30" x14ac:dyDescent="0.25">
      <c r="B487" s="26" t="s">
        <v>915</v>
      </c>
      <c r="C487" s="1" t="s">
        <v>916</v>
      </c>
      <c r="D487" s="31">
        <f>insumos!$H$198*12</f>
        <v>11.744123856439128</v>
      </c>
      <c r="E487" s="296" t="s">
        <v>568</v>
      </c>
      <c r="L487" s="26">
        <v>2173</v>
      </c>
      <c r="M487" s="288" t="s">
        <v>536</v>
      </c>
      <c r="N487" s="289">
        <f>+insumos!$H$149*2</f>
        <v>0.0349502662966019</v>
      </c>
      <c r="O487" s="291" t="s">
        <v>547</v>
      </c>
      <c r="AA487" s="26">
        <v>2173</v>
      </c>
      <c r="AB487" s="243" t="s">
        <v>536</v>
      </c>
      <c r="AC487" s="289">
        <f>+insumos!$H$149*2</f>
        <v>0.0349502662966019</v>
      </c>
      <c r="AD487" s="1" t="s">
        <v>547</v>
      </c>
    </row>
    <row r="488" spans="2:30" x14ac:dyDescent="0.25">
      <c r="B488" s="281">
        <v>5202</v>
      </c>
      <c r="C488" s="282" t="s">
        <v>586</v>
      </c>
      <c r="D488" s="31">
        <f>insumos!$H$114*12</f>
        <v>0.3161371428571429</v>
      </c>
      <c r="E488" s="296" t="s">
        <v>568</v>
      </c>
      <c r="L488" s="281">
        <v>3636</v>
      </c>
      <c r="M488" s="286" t="s">
        <v>550</v>
      </c>
      <c r="N488" s="283">
        <f>+insumos!$H$121</f>
        <v>0.0445</v>
      </c>
      <c r="O488" s="285"/>
      <c r="AA488" s="281">
        <v>3636</v>
      </c>
      <c r="AB488" s="282" t="s">
        <v>550</v>
      </c>
      <c r="AC488" s="283">
        <f>+insumos!$H$121</f>
        <v>0.0445</v>
      </c>
      <c r="AD488" s="245"/>
    </row>
    <row r="489" spans="2:30" x14ac:dyDescent="0.25">
      <c r="B489" s="281">
        <v>6229</v>
      </c>
      <c r="C489" s="30" t="s">
        <v>588</v>
      </c>
      <c r="D489" s="31">
        <f>insumos!$I$265*12</f>
        <v>0.25825519982429496</v>
      </c>
      <c r="E489" s="296" t="s">
        <v>568</v>
      </c>
      <c r="L489" s="292"/>
      <c r="M489" s="280" t="s">
        <v>553</v>
      </c>
      <c r="N489" s="293"/>
      <c r="O489" s="285"/>
      <c r="AA489" s="292"/>
      <c r="AB489" s="279" t="s">
        <v>553</v>
      </c>
      <c r="AC489" s="293"/>
      <c r="AD489" s="245"/>
    </row>
    <row r="490" spans="2:30" x14ac:dyDescent="0.25">
      <c r="B490" s="281">
        <v>6254</v>
      </c>
      <c r="C490" s="30" t="s">
        <v>600</v>
      </c>
      <c r="D490" s="31">
        <f>+insumos!$I$208*12</f>
        <v>0.5334893983701396</v>
      </c>
      <c r="E490" s="296" t="s">
        <v>568</v>
      </c>
      <c r="L490" s="26" t="s">
        <v>558</v>
      </c>
      <c r="M490" s="1" t="s">
        <v>559</v>
      </c>
      <c r="N490" s="283">
        <f>insumos!$H$65*17</f>
        <v>2.3459965508745992</v>
      </c>
      <c r="O490" s="291" t="s">
        <v>758</v>
      </c>
      <c r="AA490" s="26" t="s">
        <v>653</v>
      </c>
      <c r="AB490" s="30" t="s">
        <v>654</v>
      </c>
      <c r="AC490" s="283">
        <f>insumos!$H$224*12</f>
        <v>1.2000000000000002</v>
      </c>
      <c r="AD490" s="1" t="s">
        <v>568</v>
      </c>
    </row>
    <row r="491" spans="2:30" x14ac:dyDescent="0.25">
      <c r="B491" s="297"/>
      <c r="C491" s="298" t="s">
        <v>5</v>
      </c>
      <c r="D491" s="299">
        <f>SUM(D479:D490)</f>
        <v>15.504441420430057</v>
      </c>
      <c r="L491" s="26" t="s">
        <v>566</v>
      </c>
      <c r="M491" s="30" t="s">
        <v>567</v>
      </c>
      <c r="N491" s="283">
        <f>insumos!$H$113*17</f>
        <v>0.4591607156569147</v>
      </c>
      <c r="O491" s="291" t="s">
        <v>758</v>
      </c>
      <c r="AA491" s="26" t="s">
        <v>574</v>
      </c>
      <c r="AB491" s="1" t="s">
        <v>575</v>
      </c>
      <c r="AC491" s="283">
        <f>insumos!$H$120*12</f>
        <v>0.2388</v>
      </c>
      <c r="AD491" s="1" t="s">
        <v>568</v>
      </c>
    </row>
    <row r="492" spans="2:30" x14ac:dyDescent="0.25">
      <c r="B492" s="281"/>
      <c r="C492" s="282" t="s">
        <v>587</v>
      </c>
      <c r="D492" s="304">
        <f>984.42/121</f>
        <v>8.135702479338843</v>
      </c>
      <c r="E492" s="245"/>
      <c r="L492" s="297"/>
      <c r="M492" s="303" t="s">
        <v>5</v>
      </c>
      <c r="N492" s="299">
        <f>SUM(N483:N491)</f>
        <v>4.972546356357529</v>
      </c>
      <c r="O492" s="245"/>
      <c r="AA492" s="297"/>
      <c r="AB492" s="298" t="s">
        <v>5</v>
      </c>
      <c r="AC492" s="299">
        <f>SUM(AC483:AC491)</f>
        <v>2.8111890898260135</v>
      </c>
      <c r="AD492" s="245"/>
    </row>
    <row r="493" spans="2:30" x14ac:dyDescent="0.25">
      <c r="B493" s="281"/>
      <c r="C493" s="307" t="s">
        <v>599</v>
      </c>
      <c r="D493" s="308">
        <f>+D491/D492</f>
        <v>1.9057286644643923</v>
      </c>
      <c r="E493" s="245"/>
      <c r="L493" s="281"/>
      <c r="M493" s="286" t="s">
        <v>587</v>
      </c>
      <c r="N493" s="304">
        <f>1017.2/48</f>
        <v>21.191666666666666</v>
      </c>
      <c r="O493" s="245"/>
      <c r="AA493" s="281"/>
      <c r="AB493" s="282" t="s">
        <v>587</v>
      </c>
      <c r="AC493" s="304">
        <f>195787.97/9341</f>
        <v>20.960065303500695</v>
      </c>
      <c r="AD493" s="245"/>
    </row>
    <row r="494" spans="2:30" x14ac:dyDescent="0.25">
      <c r="B494" s="311"/>
      <c r="C494" s="307" t="s">
        <v>604</v>
      </c>
      <c r="D494" s="308">
        <f>D493*1.03</f>
        <v>1.9629005243983242</v>
      </c>
      <c r="L494" s="281"/>
      <c r="M494" s="310" t="s">
        <v>599</v>
      </c>
      <c r="N494" s="308">
        <f>+N492/N493</f>
        <v>0.23464630859728802</v>
      </c>
      <c r="O494" s="245"/>
      <c r="AA494" s="281"/>
      <c r="AB494" s="307" t="s">
        <v>599</v>
      </c>
      <c r="AC494" s="308">
        <f>+AC492/AC493</f>
        <v>0.13412119900964697</v>
      </c>
      <c r="AD494" s="245"/>
    </row>
    <row r="495" spans="12:30" x14ac:dyDescent="0.25">
      <c r="L495" s="311"/>
      <c r="M495" s="310" t="s">
        <v>604</v>
      </c>
      <c r="N495" s="308">
        <f>N494*1.03</f>
        <v>0.24168569785520666</v>
      </c>
      <c r="O495" s="245"/>
      <c r="AA495" s="311"/>
      <c r="AB495" s="307" t="s">
        <v>604</v>
      </c>
      <c r="AC495" s="308">
        <f>AC494*1.03</f>
        <v>0.13814483497993638</v>
      </c>
      <c r="AD495" s="245"/>
    </row>
    <row r="496" spans="2:5" x14ac:dyDescent="0.25">
      <c r="B496" s="259">
        <v>438037</v>
      </c>
      <c r="C496" s="260" t="s">
        <v>827</v>
      </c>
      <c r="D496" s="259">
        <v>595</v>
      </c>
      <c r="E496" s="272">
        <f>D496/E2</f>
        <v>14.778936910084452</v>
      </c>
    </row>
    <row r="497" spans="2:30" x14ac:dyDescent="0.25">
      <c r="B497" s="275" t="s">
        <v>492</v>
      </c>
      <c r="C497" s="276" t="s">
        <v>495</v>
      </c>
      <c r="D497" s="275" t="s">
        <v>467</v>
      </c>
      <c r="E497" s="245"/>
      <c r="L497" s="263">
        <v>436928</v>
      </c>
      <c r="M497" s="264" t="s">
        <v>917</v>
      </c>
      <c r="N497" s="265"/>
      <c r="O497" s="266"/>
      <c r="AA497" s="263">
        <v>991452</v>
      </c>
      <c r="AB497" s="264" t="s">
        <v>918</v>
      </c>
      <c r="AC497" s="267"/>
      <c r="AD497" s="245"/>
    </row>
    <row r="498" spans="2:30" x14ac:dyDescent="0.25">
      <c r="B498" s="278"/>
      <c r="C498" s="279" t="s">
        <v>134</v>
      </c>
      <c r="D498" s="278"/>
      <c r="E498" s="245"/>
      <c r="L498" s="275" t="s">
        <v>492</v>
      </c>
      <c r="M498" s="277" t="s">
        <v>495</v>
      </c>
      <c r="N498" s="275" t="s">
        <v>467</v>
      </c>
      <c r="O498" s="245"/>
      <c r="AA498" s="275" t="s">
        <v>492</v>
      </c>
      <c r="AB498" s="276" t="s">
        <v>495</v>
      </c>
      <c r="AC498" s="275" t="s">
        <v>467</v>
      </c>
      <c r="AD498" s="245"/>
    </row>
    <row r="499" spans="2:30" x14ac:dyDescent="0.25">
      <c r="B499" s="281">
        <v>3741</v>
      </c>
      <c r="C499" s="282" t="s">
        <v>500</v>
      </c>
      <c r="D499" s="31">
        <f>insumos!$G$213</f>
        <v>0.8355871886120997</v>
      </c>
      <c r="E499" s="245"/>
      <c r="L499" s="278"/>
      <c r="M499" s="280" t="s">
        <v>134</v>
      </c>
      <c r="N499" s="278"/>
      <c r="O499" s="245"/>
      <c r="AA499" s="278"/>
      <c r="AB499" s="279" t="s">
        <v>134</v>
      </c>
      <c r="AC499" s="278"/>
      <c r="AD499" s="245"/>
    </row>
    <row r="500" spans="2:30" x14ac:dyDescent="0.25">
      <c r="B500" s="281">
        <v>3759</v>
      </c>
      <c r="C500" s="1" t="s">
        <v>507</v>
      </c>
      <c r="D500" s="31">
        <f>+insumos!$G$284</f>
        <v>1.1352416613292604</v>
      </c>
      <c r="E500" s="245"/>
      <c r="L500" s="281">
        <v>5524</v>
      </c>
      <c r="M500" s="1" t="s">
        <v>501</v>
      </c>
      <c r="N500" s="283">
        <f>insumos!$H$217</f>
        <v>0.8950000000000001</v>
      </c>
      <c r="O500" s="285"/>
      <c r="AA500" s="281">
        <v>6184</v>
      </c>
      <c r="AB500" s="1" t="s">
        <v>502</v>
      </c>
      <c r="AC500" s="283">
        <f>insumos!$H$215</f>
        <v>0.6</v>
      </c>
      <c r="AD500" s="245"/>
    </row>
    <row r="501" spans="2:30" x14ac:dyDescent="0.25">
      <c r="B501" s="281">
        <v>4653</v>
      </c>
      <c r="C501" s="282" t="s">
        <v>525</v>
      </c>
      <c r="D501" s="283">
        <f>insumos!$H$254*4</f>
        <v>0.7456238442293049</v>
      </c>
      <c r="E501" s="284" t="s">
        <v>531</v>
      </c>
      <c r="L501" s="26" t="s">
        <v>513</v>
      </c>
      <c r="M501" s="30" t="s">
        <v>514</v>
      </c>
      <c r="N501" s="283">
        <f>+insumos!$H$266</f>
        <v>1.1500000000000001</v>
      </c>
      <c r="O501" s="285"/>
      <c r="AA501" s="281">
        <v>2037</v>
      </c>
      <c r="AB501" s="282" t="s">
        <v>511</v>
      </c>
      <c r="AC501" s="283">
        <f>+insumos!$H$268</f>
        <v>0.65</v>
      </c>
      <c r="AD501" s="245"/>
    </row>
    <row r="502" spans="2:30" x14ac:dyDescent="0.25">
      <c r="B502" s="281">
        <v>4541</v>
      </c>
      <c r="C502" s="282" t="s">
        <v>529</v>
      </c>
      <c r="D502" s="283">
        <f>insumos!$H$43</f>
        <v>0.022058823529411766</v>
      </c>
      <c r="E502" s="245"/>
      <c r="L502" s="281">
        <v>4542</v>
      </c>
      <c r="M502" s="286" t="s">
        <v>527</v>
      </c>
      <c r="N502" s="283">
        <f>insumos!$I$35</f>
        <v>0.022058823529411763</v>
      </c>
      <c r="O502" s="285"/>
      <c r="AA502" s="281">
        <v>4542</v>
      </c>
      <c r="AB502" s="282" t="s">
        <v>527</v>
      </c>
      <c r="AC502" s="283">
        <f>insumos!$I$35</f>
        <v>0.022058823529411763</v>
      </c>
      <c r="AD502" s="287"/>
    </row>
    <row r="503" spans="2:30" x14ac:dyDescent="0.25">
      <c r="B503" s="26">
        <v>3817</v>
      </c>
      <c r="C503" s="243" t="s">
        <v>524</v>
      </c>
      <c r="D503" s="289">
        <f>insumos!$I$103*1.8</f>
        <v>0.02088</v>
      </c>
      <c r="E503" s="1" t="s">
        <v>538</v>
      </c>
      <c r="L503" s="26">
        <v>3817</v>
      </c>
      <c r="M503" s="288" t="s">
        <v>524</v>
      </c>
      <c r="N503" s="289">
        <f>insumos!$I$103*1.8</f>
        <v>0.02088</v>
      </c>
      <c r="O503" s="290" t="s">
        <v>537</v>
      </c>
      <c r="AA503" s="26">
        <v>3817</v>
      </c>
      <c r="AB503" s="243" t="s">
        <v>524</v>
      </c>
      <c r="AC503" s="289">
        <f>insumos!$I$103*1.8</f>
        <v>0.02088</v>
      </c>
      <c r="AD503" s="285" t="s">
        <v>538</v>
      </c>
    </row>
    <row r="504" spans="2:30" x14ac:dyDescent="0.25">
      <c r="B504" s="26">
        <v>2173</v>
      </c>
      <c r="C504" s="243" t="s">
        <v>536</v>
      </c>
      <c r="D504" s="289">
        <f>+insumos!$H$149*2</f>
        <v>0.0349502662966019</v>
      </c>
      <c r="E504" s="1" t="s">
        <v>547</v>
      </c>
      <c r="L504" s="26">
        <v>2173</v>
      </c>
      <c r="M504" s="288" t="s">
        <v>536</v>
      </c>
      <c r="N504" s="289">
        <f>+insumos!$H$149*2</f>
        <v>0.0349502662966019</v>
      </c>
      <c r="O504" s="291" t="s">
        <v>547</v>
      </c>
      <c r="AA504" s="26">
        <v>2173</v>
      </c>
      <c r="AB504" s="243" t="s">
        <v>536</v>
      </c>
      <c r="AC504" s="289">
        <f>+insumos!$H$149*2</f>
        <v>0.0349502662966019</v>
      </c>
      <c r="AD504" s="1" t="s">
        <v>547</v>
      </c>
    </row>
    <row r="505" spans="2:30" x14ac:dyDescent="0.25">
      <c r="B505" s="281">
        <v>3636</v>
      </c>
      <c r="C505" s="282" t="s">
        <v>550</v>
      </c>
      <c r="D505" s="283">
        <f>+insumos!$H$121</f>
        <v>0.0445</v>
      </c>
      <c r="L505" s="281">
        <v>3636</v>
      </c>
      <c r="M505" s="286" t="s">
        <v>550</v>
      </c>
      <c r="N505" s="283">
        <f>+insumos!$H$121</f>
        <v>0.0445</v>
      </c>
      <c r="O505" s="285"/>
      <c r="AA505" s="281">
        <v>3636</v>
      </c>
      <c r="AB505" s="282" t="s">
        <v>550</v>
      </c>
      <c r="AC505" s="283">
        <f>+insumos!$H$121</f>
        <v>0.0445</v>
      </c>
      <c r="AD505" s="245"/>
    </row>
    <row r="506" spans="2:30" x14ac:dyDescent="0.25">
      <c r="B506" s="294"/>
      <c r="C506" s="279" t="s">
        <v>553</v>
      </c>
      <c r="D506" s="295"/>
      <c r="L506" s="292"/>
      <c r="M506" s="280" t="s">
        <v>553</v>
      </c>
      <c r="N506" s="293"/>
      <c r="O506" s="285"/>
      <c r="AA506" s="292"/>
      <c r="AB506" s="279" t="s">
        <v>553</v>
      </c>
      <c r="AC506" s="293"/>
      <c r="AD506" s="245"/>
    </row>
    <row r="507" spans="2:30" x14ac:dyDescent="0.25">
      <c r="B507" s="26" t="s">
        <v>919</v>
      </c>
      <c r="C507" s="30" t="s">
        <v>920</v>
      </c>
      <c r="D507" s="31">
        <f>insumos!$H$178*10</f>
        <v>0.98</v>
      </c>
      <c r="E507" s="296" t="s">
        <v>563</v>
      </c>
      <c r="L507" s="26" t="s">
        <v>739</v>
      </c>
      <c r="M507" s="1" t="s">
        <v>740</v>
      </c>
      <c r="N507" s="283">
        <f>insumos!$H$96*14</f>
        <v>2.758</v>
      </c>
      <c r="O507" s="291" t="s">
        <v>803</v>
      </c>
      <c r="AA507" s="26"/>
      <c r="AB507" s="30"/>
      <c r="AC507" s="283"/>
      <c r="AD507" s="1"/>
    </row>
    <row r="508" spans="2:30" x14ac:dyDescent="0.25">
      <c r="B508" s="281">
        <v>5202</v>
      </c>
      <c r="C508" s="282" t="s">
        <v>586</v>
      </c>
      <c r="D508" s="31">
        <f>insumos!$H$114*10</f>
        <v>0.26344761904761904</v>
      </c>
      <c r="E508" s="296" t="s">
        <v>563</v>
      </c>
      <c r="L508" s="26" t="s">
        <v>566</v>
      </c>
      <c r="M508" s="30" t="s">
        <v>567</v>
      </c>
      <c r="N508" s="283">
        <f>insumos!$H$113*14</f>
        <v>0.3781323540704003</v>
      </c>
      <c r="O508" s="291" t="s">
        <v>803</v>
      </c>
      <c r="AA508" s="26"/>
      <c r="AB508" s="30"/>
      <c r="AC508" s="283"/>
      <c r="AD508" s="1"/>
    </row>
    <row r="509" spans="2:30" x14ac:dyDescent="0.25">
      <c r="B509" s="281">
        <v>6229</v>
      </c>
      <c r="C509" s="30" t="s">
        <v>588</v>
      </c>
      <c r="D509" s="31">
        <f>insumos!$I$265*10</f>
        <v>0.21521266652024582</v>
      </c>
      <c r="E509" s="296" t="s">
        <v>563</v>
      </c>
      <c r="L509" s="297"/>
      <c r="M509" s="303" t="s">
        <v>5</v>
      </c>
      <c r="N509" s="299">
        <f>SUM(N500:N508)</f>
        <v>5.303521443896415</v>
      </c>
      <c r="O509" s="245"/>
      <c r="AA509" s="297"/>
      <c r="AB509" s="298" t="s">
        <v>5</v>
      </c>
      <c r="AC509" s="299">
        <f>SUM(AC500:AC508)</f>
        <v>1.3723890898260136</v>
      </c>
      <c r="AD509" s="245"/>
    </row>
    <row r="510" spans="2:30" x14ac:dyDescent="0.25">
      <c r="B510" s="281">
        <v>6254</v>
      </c>
      <c r="C510" s="30" t="s">
        <v>600</v>
      </c>
      <c r="D510" s="31">
        <f>+insumos!$I$208*10</f>
        <v>0.444574498641783</v>
      </c>
      <c r="E510" s="296" t="s">
        <v>563</v>
      </c>
      <c r="L510" s="281"/>
      <c r="M510" s="286" t="s">
        <v>587</v>
      </c>
      <c r="N510" s="304">
        <f>87.94/4</f>
        <v>21.985</v>
      </c>
      <c r="O510" s="245"/>
      <c r="AA510" s="281"/>
      <c r="AB510" s="282" t="s">
        <v>587</v>
      </c>
      <c r="AC510" s="304">
        <f>155841.07/10066</f>
        <v>15.481926286509042</v>
      </c>
      <c r="AD510" s="245"/>
    </row>
    <row r="511" spans="2:30" x14ac:dyDescent="0.25">
      <c r="B511" s="297"/>
      <c r="C511" s="298" t="s">
        <v>5</v>
      </c>
      <c r="D511" s="299">
        <f>SUM(D499:D510)</f>
        <v>4.742076568206326</v>
      </c>
      <c r="L511" s="281"/>
      <c r="M511" s="310" t="s">
        <v>599</v>
      </c>
      <c r="N511" s="308">
        <f>+N509/N510</f>
        <v>0.241233634018486</v>
      </c>
      <c r="O511" s="245"/>
      <c r="AA511" s="281"/>
      <c r="AB511" s="307" t="s">
        <v>599</v>
      </c>
      <c r="AC511" s="308">
        <f>+AC509/AC510</f>
        <v>0.08864459528023423</v>
      </c>
      <c r="AD511" s="245"/>
    </row>
    <row r="512" spans="2:30" x14ac:dyDescent="0.25">
      <c r="B512" s="281"/>
      <c r="C512" s="282" t="s">
        <v>587</v>
      </c>
      <c r="D512" s="304">
        <f>1655.78/165</f>
        <v>10.035030303030302</v>
      </c>
      <c r="E512" s="245"/>
      <c r="L512" s="311"/>
      <c r="M512" s="310" t="s">
        <v>604</v>
      </c>
      <c r="N512" s="308">
        <f>N511*1.03</f>
        <v>0.24847064303904057</v>
      </c>
      <c r="O512" s="245"/>
      <c r="AA512" s="311"/>
      <c r="AB512" s="307" t="s">
        <v>604</v>
      </c>
      <c r="AC512" s="308">
        <f>AC511*1.03</f>
        <v>0.09130393313864126</v>
      </c>
      <c r="AD512" s="245"/>
    </row>
    <row r="513" spans="2:5" x14ac:dyDescent="0.25">
      <c r="B513" s="281"/>
      <c r="C513" s="307" t="s">
        <v>599</v>
      </c>
      <c r="D513" s="308">
        <f>+D511/D512</f>
        <v>0.47255229182261166</v>
      </c>
      <c r="E513" s="245"/>
    </row>
    <row r="514" spans="2:30" x14ac:dyDescent="0.25">
      <c r="B514" s="311"/>
      <c r="C514" s="307" t="s">
        <v>604</v>
      </c>
      <c r="D514" s="308">
        <f>D513*1.03</f>
        <v>0.48672886057729003</v>
      </c>
      <c r="AA514" s="263">
        <v>991490</v>
      </c>
      <c r="AB514" s="264" t="s">
        <v>921</v>
      </c>
      <c r="AC514" s="267"/>
      <c r="AD514" s="245"/>
    </row>
    <row r="515" spans="27:30" x14ac:dyDescent="0.25">
      <c r="AA515" s="275" t="s">
        <v>492</v>
      </c>
      <c r="AB515" s="276" t="s">
        <v>495</v>
      </c>
      <c r="AC515" s="275" t="s">
        <v>467</v>
      </c>
      <c r="AD515" s="245"/>
    </row>
    <row r="516" spans="2:30" x14ac:dyDescent="0.25">
      <c r="B516" s="259">
        <v>438036</v>
      </c>
      <c r="C516" s="260" t="s">
        <v>476</v>
      </c>
      <c r="D516" s="259">
        <v>313</v>
      </c>
      <c r="E516" s="266">
        <f>D516/E2</f>
        <v>7.774465971187283</v>
      </c>
      <c r="AA516" s="278"/>
      <c r="AB516" s="279" t="s">
        <v>134</v>
      </c>
      <c r="AC516" s="278"/>
      <c r="AD516" s="245"/>
    </row>
    <row r="517" spans="2:30" x14ac:dyDescent="0.25">
      <c r="B517" s="275" t="s">
        <v>492</v>
      </c>
      <c r="C517" s="276" t="s">
        <v>495</v>
      </c>
      <c r="D517" s="275" t="s">
        <v>467</v>
      </c>
      <c r="AA517" s="281">
        <v>6184</v>
      </c>
      <c r="AB517" s="1" t="s">
        <v>502</v>
      </c>
      <c r="AC517" s="283">
        <f>insumos!$H$215</f>
        <v>0.6</v>
      </c>
      <c r="AD517" s="245"/>
    </row>
    <row r="518" spans="2:30" x14ac:dyDescent="0.25">
      <c r="B518" s="278"/>
      <c r="C518" s="279" t="s">
        <v>134</v>
      </c>
      <c r="D518" s="278"/>
      <c r="E518" s="245"/>
      <c r="AA518" s="281">
        <v>2037</v>
      </c>
      <c r="AB518" s="282" t="s">
        <v>511</v>
      </c>
      <c r="AC518" s="283">
        <f>+insumos!$H$268</f>
        <v>0.65</v>
      </c>
      <c r="AD518" s="245"/>
    </row>
    <row r="519" spans="2:30" x14ac:dyDescent="0.25">
      <c r="B519" s="281">
        <v>5524</v>
      </c>
      <c r="C519" s="1" t="s">
        <v>501</v>
      </c>
      <c r="D519" s="283">
        <f>insumos!$H$217</f>
        <v>0.8950000000000001</v>
      </c>
      <c r="E519" s="245"/>
      <c r="AA519" s="26" t="s">
        <v>533</v>
      </c>
      <c r="AB519" s="30" t="s">
        <v>534</v>
      </c>
      <c r="AC519" s="283">
        <f>insumos!$I$33</f>
        <v>0.049999554426770045</v>
      </c>
      <c r="AD519" s="287"/>
    </row>
    <row r="520" spans="2:30" x14ac:dyDescent="0.25">
      <c r="B520" s="281">
        <v>5523</v>
      </c>
      <c r="C520" s="282" t="s">
        <v>508</v>
      </c>
      <c r="D520" s="283">
        <f>+insumos!$H$285</f>
        <v>1.1829611337771098</v>
      </c>
      <c r="E520" s="245"/>
      <c r="AA520" s="26">
        <v>3817</v>
      </c>
      <c r="AB520" s="243" t="s">
        <v>524</v>
      </c>
      <c r="AC520" s="289">
        <f>insumos!$I$103*1.8</f>
        <v>0.02088</v>
      </c>
      <c r="AD520" s="285" t="s">
        <v>538</v>
      </c>
    </row>
    <row r="521" spans="2:30" x14ac:dyDescent="0.25">
      <c r="B521" s="281">
        <v>4986</v>
      </c>
      <c r="C521" s="1" t="s">
        <v>530</v>
      </c>
      <c r="D521" s="283">
        <f>insumos!$H$255*3</f>
        <v>0.5699996367390061</v>
      </c>
      <c r="E521" s="284" t="s">
        <v>526</v>
      </c>
      <c r="AA521" s="26">
        <v>2173</v>
      </c>
      <c r="AB521" s="243" t="s">
        <v>536</v>
      </c>
      <c r="AC521" s="289">
        <f>+insumos!$H$149*2</f>
        <v>0.0349502662966019</v>
      </c>
      <c r="AD521" s="1" t="s">
        <v>547</v>
      </c>
    </row>
    <row r="522" spans="2:30" x14ac:dyDescent="0.25">
      <c r="B522" s="281">
        <v>4542</v>
      </c>
      <c r="C522" s="282" t="s">
        <v>527</v>
      </c>
      <c r="D522" s="283">
        <f>insumos!$I$35</f>
        <v>0.022058823529411763</v>
      </c>
      <c r="E522" s="284"/>
      <c r="AA522" s="281">
        <v>3636</v>
      </c>
      <c r="AB522" s="282" t="s">
        <v>550</v>
      </c>
      <c r="AC522" s="283">
        <f>+insumos!$H$121</f>
        <v>0.0445</v>
      </c>
      <c r="AD522" s="245"/>
    </row>
    <row r="523" spans="2:30" x14ac:dyDescent="0.25">
      <c r="B523" s="26">
        <v>3817</v>
      </c>
      <c r="C523" s="243" t="s">
        <v>524</v>
      </c>
      <c r="D523" s="289">
        <f>insumos!$I$103*1.8</f>
        <v>0.02088</v>
      </c>
      <c r="E523" s="290" t="s">
        <v>537</v>
      </c>
      <c r="AA523" s="292"/>
      <c r="AB523" s="279" t="s">
        <v>553</v>
      </c>
      <c r="AC523" s="293"/>
      <c r="AD523" s="245"/>
    </row>
    <row r="524" spans="2:30" x14ac:dyDescent="0.25">
      <c r="B524" s="26">
        <v>2173</v>
      </c>
      <c r="C524" s="243" t="s">
        <v>536</v>
      </c>
      <c r="D524" s="289">
        <f>+insumos!$H$149*2</f>
        <v>0.0349502662966019</v>
      </c>
      <c r="E524" s="291" t="s">
        <v>547</v>
      </c>
      <c r="AA524" s="26"/>
      <c r="AB524" s="30"/>
      <c r="AC524" s="283"/>
      <c r="AD524" s="1"/>
    </row>
    <row r="525" spans="2:30" x14ac:dyDescent="0.25">
      <c r="B525" s="281">
        <v>3636</v>
      </c>
      <c r="C525" s="282" t="s">
        <v>550</v>
      </c>
      <c r="D525" s="283">
        <f>+insumos!$H$121</f>
        <v>0.0445</v>
      </c>
      <c r="AA525" s="26"/>
      <c r="AB525" s="30"/>
      <c r="AC525" s="283"/>
      <c r="AD525" s="1"/>
    </row>
    <row r="526" spans="2:30" x14ac:dyDescent="0.25">
      <c r="B526" s="294"/>
      <c r="C526" s="279" t="s">
        <v>553</v>
      </c>
      <c r="D526" s="295"/>
      <c r="AA526" s="297"/>
      <c r="AB526" s="298" t="s">
        <v>5</v>
      </c>
      <c r="AC526" s="299">
        <f>SUM(AC517:AC525)</f>
        <v>1.4003298207233719</v>
      </c>
      <c r="AD526" s="245"/>
    </row>
    <row r="527" spans="2:30" x14ac:dyDescent="0.25">
      <c r="B527" s="26" t="s">
        <v>922</v>
      </c>
      <c r="C527" s="30" t="s">
        <v>923</v>
      </c>
      <c r="D527" s="31">
        <f>insumos!H185*21</f>
        <v>2.058</v>
      </c>
      <c r="E527" s="296" t="s">
        <v>660</v>
      </c>
      <c r="AA527" s="281"/>
      <c r="AB527" s="282" t="s">
        <v>587</v>
      </c>
      <c r="AC527" s="304">
        <f>140539.65/5165</f>
        <v>27.209999999999997</v>
      </c>
      <c r="AD527" s="245"/>
    </row>
    <row r="528" spans="2:30" x14ac:dyDescent="0.25">
      <c r="B528" s="281">
        <v>5202</v>
      </c>
      <c r="C528" s="282" t="s">
        <v>586</v>
      </c>
      <c r="D528" s="31">
        <f>insumos!$H$114*21</f>
        <v>0.5532400000000001</v>
      </c>
      <c r="E528" s="296" t="s">
        <v>660</v>
      </c>
      <c r="AA528" s="281"/>
      <c r="AB528" s="307" t="s">
        <v>599</v>
      </c>
      <c r="AC528" s="308">
        <f>+AC526/AC527</f>
        <v>0.05146379348487218</v>
      </c>
      <c r="AD528" s="245"/>
    </row>
    <row r="529" spans="2:30" x14ac:dyDescent="0.25">
      <c r="B529" s="281">
        <v>6229</v>
      </c>
      <c r="C529" s="30" t="s">
        <v>588</v>
      </c>
      <c r="D529" s="31">
        <f>insumos!$I$265*21</f>
        <v>0.4519465996925162</v>
      </c>
      <c r="E529" s="296" t="s">
        <v>660</v>
      </c>
      <c r="AA529" s="311"/>
      <c r="AB529" s="307" t="s">
        <v>604</v>
      </c>
      <c r="AC529" s="308">
        <f>AC528*1.03</f>
        <v>0.053007707289418345</v>
      </c>
      <c r="AD529" s="245"/>
    </row>
    <row r="530" spans="2:5" x14ac:dyDescent="0.25">
      <c r="B530" s="281">
        <v>6254</v>
      </c>
      <c r="C530" s="30" t="s">
        <v>600</v>
      </c>
      <c r="D530" s="31">
        <f>+insumos!$I$208*21</f>
        <v>0.9336064471477443</v>
      </c>
      <c r="E530" s="296" t="s">
        <v>660</v>
      </c>
    </row>
    <row r="531" spans="2:30" x14ac:dyDescent="0.25">
      <c r="B531" s="297"/>
      <c r="C531" s="298" t="s">
        <v>5</v>
      </c>
      <c r="D531" s="299">
        <f>SUM(D519:D530)</f>
        <v>6.767142907182389</v>
      </c>
      <c r="AA531" s="263">
        <v>991560</v>
      </c>
      <c r="AB531" s="264" t="s">
        <v>924</v>
      </c>
      <c r="AC531" s="267"/>
      <c r="AD531" s="245"/>
    </row>
    <row r="532" spans="2:30" x14ac:dyDescent="0.25">
      <c r="B532" s="281"/>
      <c r="C532" s="282" t="s">
        <v>587</v>
      </c>
      <c r="D532" s="304">
        <f>9673.17/616</f>
        <v>15.703198051948052</v>
      </c>
      <c r="AA532" s="275" t="s">
        <v>492</v>
      </c>
      <c r="AB532" s="276" t="s">
        <v>495</v>
      </c>
      <c r="AC532" s="275" t="s">
        <v>467</v>
      </c>
      <c r="AD532" s="245"/>
    </row>
    <row r="533" spans="2:30" x14ac:dyDescent="0.25">
      <c r="B533" s="281"/>
      <c r="C533" s="307" t="s">
        <v>599</v>
      </c>
      <c r="D533" s="308">
        <f>+D531/D532</f>
        <v>0.430940429127613</v>
      </c>
      <c r="E533" s="245"/>
      <c r="AA533" s="278"/>
      <c r="AB533" s="279" t="s">
        <v>134</v>
      </c>
      <c r="AC533" s="278"/>
      <c r="AD533" s="245"/>
    </row>
    <row r="534" spans="2:30" x14ac:dyDescent="0.25">
      <c r="B534" s="311"/>
      <c r="C534" s="307" t="s">
        <v>604</v>
      </c>
      <c r="D534" s="308">
        <f>D533*1.03</f>
        <v>0.4438686420014414</v>
      </c>
      <c r="E534" s="245"/>
      <c r="H534" s="330"/>
      <c r="AA534" s="281">
        <v>6184</v>
      </c>
      <c r="AB534" s="1" t="s">
        <v>502</v>
      </c>
      <c r="AC534" s="283">
        <f>insumos!$H$215</f>
        <v>0.6</v>
      </c>
      <c r="AD534" s="245"/>
    </row>
    <row r="535" spans="27:30" x14ac:dyDescent="0.25">
      <c r="AA535" s="281">
        <v>2037</v>
      </c>
      <c r="AB535" s="282" t="s">
        <v>511</v>
      </c>
      <c r="AC535" s="283">
        <f>+insumos!$H$268</f>
        <v>0.65</v>
      </c>
      <c r="AD535" s="245"/>
    </row>
    <row r="536" spans="2:30" x14ac:dyDescent="0.25">
      <c r="B536" s="259">
        <v>438260</v>
      </c>
      <c r="C536" s="260" t="s">
        <v>925</v>
      </c>
      <c r="D536" s="331"/>
      <c r="E536" s="245"/>
      <c r="AA536" s="281">
        <v>4542</v>
      </c>
      <c r="AB536" s="282" t="s">
        <v>527</v>
      </c>
      <c r="AC536" s="283">
        <f>insumos!$I$35</f>
        <v>0.022058823529411763</v>
      </c>
      <c r="AD536" s="245"/>
    </row>
    <row r="537" spans="2:30" x14ac:dyDescent="0.25">
      <c r="B537" s="275" t="s">
        <v>492</v>
      </c>
      <c r="C537" s="276" t="s">
        <v>495</v>
      </c>
      <c r="D537" s="275" t="s">
        <v>467</v>
      </c>
      <c r="AA537" s="26">
        <v>3817</v>
      </c>
      <c r="AB537" s="243" t="s">
        <v>524</v>
      </c>
      <c r="AC537" s="289">
        <f>insumos!$I$103*1.8</f>
        <v>0.02088</v>
      </c>
      <c r="AD537" s="285" t="s">
        <v>538</v>
      </c>
    </row>
    <row r="538" spans="2:30" x14ac:dyDescent="0.25">
      <c r="B538" s="278"/>
      <c r="C538" s="279" t="s">
        <v>134</v>
      </c>
      <c r="D538" s="278"/>
      <c r="E538" s="245"/>
      <c r="AA538" s="26">
        <v>2173</v>
      </c>
      <c r="AB538" s="243" t="s">
        <v>536</v>
      </c>
      <c r="AC538" s="289">
        <f>+insumos!$H$149*2</f>
        <v>0.0349502662966019</v>
      </c>
      <c r="AD538" s="1" t="s">
        <v>547</v>
      </c>
    </row>
    <row r="539" spans="2:30" x14ac:dyDescent="0.25">
      <c r="B539" s="281">
        <v>5524</v>
      </c>
      <c r="C539" s="1" t="s">
        <v>501</v>
      </c>
      <c r="D539" s="283">
        <f>insumos!$H$217</f>
        <v>0.8950000000000001</v>
      </c>
      <c r="E539" s="245"/>
      <c r="AA539" s="281">
        <v>3636</v>
      </c>
      <c r="AB539" s="282" t="s">
        <v>550</v>
      </c>
      <c r="AC539" s="283">
        <f>+insumos!$H$121</f>
        <v>0.0445</v>
      </c>
      <c r="AD539" s="245"/>
    </row>
    <row r="540" spans="2:30" x14ac:dyDescent="0.25">
      <c r="B540" s="281">
        <v>5523</v>
      </c>
      <c r="C540" s="282" t="s">
        <v>508</v>
      </c>
      <c r="D540" s="283">
        <f>+insumos!$H$285</f>
        <v>1.1829611337771098</v>
      </c>
      <c r="E540" s="245"/>
      <c r="AA540" s="292"/>
      <c r="AB540" s="279" t="s">
        <v>553</v>
      </c>
      <c r="AC540" s="293"/>
      <c r="AD540" s="245"/>
    </row>
    <row r="541" spans="2:30" x14ac:dyDescent="0.25">
      <c r="B541" s="281">
        <v>4986</v>
      </c>
      <c r="C541" s="1" t="s">
        <v>530</v>
      </c>
      <c r="D541" s="283">
        <f>insumos!$H$255*3</f>
        <v>0.5699996367390061</v>
      </c>
      <c r="E541" s="284"/>
      <c r="AA541" s="26" t="s">
        <v>653</v>
      </c>
      <c r="AB541" s="30" t="s">
        <v>654</v>
      </c>
      <c r="AC541" s="283">
        <f>insumos!$H$224</f>
        <v>0.1</v>
      </c>
      <c r="AD541" s="1"/>
    </row>
    <row r="542" spans="2:30" x14ac:dyDescent="0.25">
      <c r="B542" s="281">
        <v>4542</v>
      </c>
      <c r="C542" s="282" t="s">
        <v>527</v>
      </c>
      <c r="D542" s="283">
        <f>insumos!$I$35</f>
        <v>0.022058823529411763</v>
      </c>
      <c r="E542" s="284"/>
      <c r="AA542" s="26"/>
      <c r="AB542" s="1"/>
      <c r="AC542" s="283"/>
      <c r="AD542" s="1"/>
    </row>
    <row r="543" spans="2:30" x14ac:dyDescent="0.25">
      <c r="B543" s="26">
        <v>3817</v>
      </c>
      <c r="C543" s="243" t="s">
        <v>524</v>
      </c>
      <c r="D543" s="289">
        <f>insumos!$I$103*1.8</f>
        <v>0.02088</v>
      </c>
      <c r="E543" s="290" t="s">
        <v>537</v>
      </c>
      <c r="AA543" s="297"/>
      <c r="AB543" s="298" t="s">
        <v>5</v>
      </c>
      <c r="AC543" s="299">
        <f>SUM(AC534:AC542)</f>
        <v>1.4723890898260137</v>
      </c>
      <c r="AD543" s="245"/>
    </row>
    <row r="544" spans="2:30" x14ac:dyDescent="0.25">
      <c r="B544" s="26">
        <v>2173</v>
      </c>
      <c r="C544" s="243" t="s">
        <v>536</v>
      </c>
      <c r="D544" s="289">
        <f>+insumos!$H$149*2</f>
        <v>0.0349502662966019</v>
      </c>
      <c r="E544" s="291" t="s">
        <v>547</v>
      </c>
      <c r="AA544" s="281"/>
      <c r="AB544" s="282" t="s">
        <v>587</v>
      </c>
      <c r="AC544" s="304">
        <f>69098.92/3612</f>
        <v>19.130376522702104</v>
      </c>
      <c r="AD544" s="245"/>
    </row>
    <row r="545" spans="2:30" x14ac:dyDescent="0.25">
      <c r="B545" s="281">
        <v>3636</v>
      </c>
      <c r="C545" s="282" t="s">
        <v>550</v>
      </c>
      <c r="D545" s="283">
        <f>+insumos!$H$121</f>
        <v>0.0445</v>
      </c>
      <c r="AA545" s="281"/>
      <c r="AB545" s="307" t="s">
        <v>599</v>
      </c>
      <c r="AC545" s="308">
        <f>+AC543/AC544</f>
        <v>0.07696602772447907</v>
      </c>
      <c r="AD545" s="245"/>
    </row>
    <row r="546" spans="2:30" x14ac:dyDescent="0.25">
      <c r="B546" s="294"/>
      <c r="C546" s="279" t="s">
        <v>553</v>
      </c>
      <c r="D546" s="295"/>
      <c r="AA546" s="311"/>
      <c r="AB546" s="307" t="s">
        <v>604</v>
      </c>
      <c r="AC546" s="308">
        <f>AC545*1.03</f>
        <v>0.07927500855621344</v>
      </c>
      <c r="AD546" s="245"/>
    </row>
    <row r="547" spans="2:5" x14ac:dyDescent="0.25">
      <c r="B547" s="281">
        <v>5202</v>
      </c>
      <c r="C547" s="282" t="s">
        <v>586</v>
      </c>
      <c r="D547" s="31">
        <f>insumos!$H$114*12</f>
        <v>0.3161371428571429</v>
      </c>
      <c r="E547" s="296" t="s">
        <v>926</v>
      </c>
    </row>
    <row r="548" spans="2:30" x14ac:dyDescent="0.25">
      <c r="B548" s="26" t="s">
        <v>569</v>
      </c>
      <c r="C548" s="1" t="s">
        <v>570</v>
      </c>
      <c r="D548" s="31">
        <f>insumos!$H$90*12</f>
        <v>3.6960000000000006</v>
      </c>
      <c r="E548" s="296" t="s">
        <v>568</v>
      </c>
      <c r="AA548" s="263">
        <v>991590</v>
      </c>
      <c r="AB548" s="264" t="s">
        <v>927</v>
      </c>
      <c r="AC548" s="267"/>
      <c r="AD548" s="245"/>
    </row>
    <row r="549" spans="2:30" x14ac:dyDescent="0.25">
      <c r="B549" s="297"/>
      <c r="C549" s="298" t="s">
        <v>5</v>
      </c>
      <c r="D549" s="299">
        <f>SUM(D539:D548)</f>
        <v>6.7824870031992734</v>
      </c>
      <c r="AA549" s="275" t="s">
        <v>492</v>
      </c>
      <c r="AB549" s="276" t="s">
        <v>495</v>
      </c>
      <c r="AC549" s="275" t="s">
        <v>467</v>
      </c>
      <c r="AD549" s="245"/>
    </row>
    <row r="550" spans="2:30" x14ac:dyDescent="0.25">
      <c r="B550" s="281"/>
      <c r="C550" s="282" t="s">
        <v>587</v>
      </c>
      <c r="D550" s="304">
        <f>9673.17/616</f>
        <v>15.703198051948052</v>
      </c>
      <c r="E550" s="296"/>
      <c r="AA550" s="278"/>
      <c r="AB550" s="279" t="s">
        <v>134</v>
      </c>
      <c r="AC550" s="278"/>
      <c r="AD550" s="245"/>
    </row>
    <row r="551" spans="2:30" x14ac:dyDescent="0.25">
      <c r="B551" s="281"/>
      <c r="C551" s="307" t="s">
        <v>599</v>
      </c>
      <c r="D551" s="308">
        <f>+D549/D550</f>
        <v>0.43191756104469914</v>
      </c>
      <c r="AA551" s="281">
        <v>6184</v>
      </c>
      <c r="AB551" s="1" t="s">
        <v>502</v>
      </c>
      <c r="AC551" s="283">
        <f>insumos!$H$215</f>
        <v>0.6</v>
      </c>
      <c r="AD551" s="245"/>
    </row>
    <row r="552" spans="2:30" x14ac:dyDescent="0.25">
      <c r="B552" s="311"/>
      <c r="C552" s="307" t="s">
        <v>604</v>
      </c>
      <c r="D552" s="308">
        <f>D551*1.03</f>
        <v>0.44487508787604013</v>
      </c>
      <c r="AA552" s="281">
        <v>2037</v>
      </c>
      <c r="AB552" s="282" t="s">
        <v>511</v>
      </c>
      <c r="AC552" s="283">
        <f>+insumos!$H$268</f>
        <v>0.65</v>
      </c>
      <c r="AD552" s="245"/>
    </row>
    <row r="553" spans="5:30" x14ac:dyDescent="0.25">
      <c r="E553" s="245"/>
      <c r="AA553" s="26" t="s">
        <v>533</v>
      </c>
      <c r="AB553" s="30" t="s">
        <v>534</v>
      </c>
      <c r="AC553" s="283">
        <f>insumos!$I$33</f>
        <v>0.049999554426770045</v>
      </c>
      <c r="AD553" s="287"/>
    </row>
    <row r="554" spans="2:30" x14ac:dyDescent="0.25">
      <c r="B554" s="259">
        <v>438411</v>
      </c>
      <c r="C554" s="260" t="s">
        <v>928</v>
      </c>
      <c r="D554" s="259">
        <v>250</v>
      </c>
      <c r="E554" s="266">
        <f>D554/E2</f>
        <v>6.209637357178341</v>
      </c>
      <c r="AA554" s="26">
        <v>3817</v>
      </c>
      <c r="AB554" s="243" t="s">
        <v>524</v>
      </c>
      <c r="AC554" s="289">
        <f>insumos!$I$103*1.8</f>
        <v>0.02088</v>
      </c>
      <c r="AD554" s="285" t="s">
        <v>538</v>
      </c>
    </row>
    <row r="555" spans="2:30" x14ac:dyDescent="0.25">
      <c r="B555" s="275" t="s">
        <v>492</v>
      </c>
      <c r="C555" s="276" t="s">
        <v>495</v>
      </c>
      <c r="D555" s="275" t="s">
        <v>467</v>
      </c>
      <c r="AA555" s="26">
        <v>2173</v>
      </c>
      <c r="AB555" s="243" t="s">
        <v>536</v>
      </c>
      <c r="AC555" s="289">
        <f>+insumos!$H$149*2</f>
        <v>0.0349502662966019</v>
      </c>
      <c r="AD555" s="1" t="s">
        <v>547</v>
      </c>
    </row>
    <row r="556" spans="2:30" x14ac:dyDescent="0.25">
      <c r="B556" s="278"/>
      <c r="C556" s="279" t="s">
        <v>134</v>
      </c>
      <c r="D556" s="278"/>
      <c r="E556" s="269"/>
      <c r="AA556" s="281">
        <v>3636</v>
      </c>
      <c r="AB556" s="282" t="s">
        <v>550</v>
      </c>
      <c r="AC556" s="283">
        <f>+insumos!$H$121</f>
        <v>0.0445</v>
      </c>
      <c r="AD556" s="245"/>
    </row>
    <row r="557" spans="2:30" x14ac:dyDescent="0.25">
      <c r="B557" s="281">
        <v>5524</v>
      </c>
      <c r="C557" s="1" t="s">
        <v>501</v>
      </c>
      <c r="D557" s="283">
        <f>insumos!$H$217</f>
        <v>0.8950000000000001</v>
      </c>
      <c r="E557" s="245"/>
      <c r="AA557" s="292"/>
      <c r="AB557" s="279" t="s">
        <v>553</v>
      </c>
      <c r="AC557" s="293"/>
      <c r="AD557" s="245"/>
    </row>
    <row r="558" spans="2:30" x14ac:dyDescent="0.25">
      <c r="B558" s="281">
        <v>5523</v>
      </c>
      <c r="C558" s="282" t="s">
        <v>508</v>
      </c>
      <c r="D558" s="283">
        <f>+insumos!$H$285</f>
        <v>1.1829611337771098</v>
      </c>
      <c r="E558" s="245"/>
      <c r="AA558" s="26"/>
      <c r="AB558" s="30"/>
      <c r="AC558" s="283"/>
      <c r="AD558" s="1"/>
    </row>
    <row r="559" spans="2:30" x14ac:dyDescent="0.25">
      <c r="B559" s="281">
        <v>4986</v>
      </c>
      <c r="C559" s="1" t="s">
        <v>530</v>
      </c>
      <c r="D559" s="283">
        <f>insumos!$H$255*3</f>
        <v>0.5699996367390061</v>
      </c>
      <c r="E559" s="245"/>
      <c r="AA559" s="26"/>
      <c r="AB559" s="30"/>
      <c r="AC559" s="283"/>
      <c r="AD559" s="1"/>
    </row>
    <row r="560" spans="2:30" x14ac:dyDescent="0.25">
      <c r="B560" s="281">
        <v>4542</v>
      </c>
      <c r="C560" s="282" t="s">
        <v>527</v>
      </c>
      <c r="D560" s="283">
        <f>insumos!$I$35</f>
        <v>0.022058823529411763</v>
      </c>
      <c r="E560" s="245"/>
      <c r="AA560" s="297"/>
      <c r="AB560" s="298" t="s">
        <v>5</v>
      </c>
      <c r="AC560" s="299">
        <f>SUM(AC551:AC559)</f>
        <v>1.4003298207233719</v>
      </c>
      <c r="AD560" s="245"/>
    </row>
    <row r="561" spans="2:30" x14ac:dyDescent="0.25">
      <c r="B561" s="26">
        <v>3817</v>
      </c>
      <c r="C561" s="243" t="s">
        <v>524</v>
      </c>
      <c r="D561" s="289">
        <f>insumos!$I$103*1.8</f>
        <v>0.02088</v>
      </c>
      <c r="E561" s="284" t="s">
        <v>532</v>
      </c>
      <c r="AA561" s="281"/>
      <c r="AB561" s="282" t="s">
        <v>587</v>
      </c>
      <c r="AC561" s="304">
        <f>140539.65/5165</f>
        <v>27.209999999999997</v>
      </c>
      <c r="AD561" s="245"/>
    </row>
    <row r="562" spans="2:30" x14ac:dyDescent="0.25">
      <c r="B562" s="26">
        <v>2173</v>
      </c>
      <c r="C562" s="243" t="s">
        <v>536</v>
      </c>
      <c r="D562" s="289">
        <f>+insumos!$H$149*2</f>
        <v>0.0349502662966019</v>
      </c>
      <c r="E562" s="245"/>
      <c r="AA562" s="281"/>
      <c r="AB562" s="307" t="s">
        <v>599</v>
      </c>
      <c r="AC562" s="308">
        <f>+AC560/AC561</f>
        <v>0.05146379348487218</v>
      </c>
      <c r="AD562" s="245"/>
    </row>
    <row r="563" spans="2:30" x14ac:dyDescent="0.25">
      <c r="B563" s="281">
        <v>3636</v>
      </c>
      <c r="C563" s="282" t="s">
        <v>550</v>
      </c>
      <c r="D563" s="283">
        <f>+insumos!$H$121</f>
        <v>0.0445</v>
      </c>
      <c r="E563" s="1" t="s">
        <v>538</v>
      </c>
      <c r="AA563" s="311"/>
      <c r="AB563" s="307" t="s">
        <v>604</v>
      </c>
      <c r="AC563" s="308">
        <f>AC562*1.03</f>
        <v>0.053007707289418345</v>
      </c>
      <c r="AD563" s="245"/>
    </row>
    <row r="564" spans="2:5" x14ac:dyDescent="0.25">
      <c r="B564" s="294"/>
      <c r="C564" s="279" t="s">
        <v>553</v>
      </c>
      <c r="D564" s="295"/>
      <c r="E564" s="1" t="s">
        <v>547</v>
      </c>
    </row>
    <row r="565" spans="2:30" x14ac:dyDescent="0.25">
      <c r="B565" s="26" t="s">
        <v>929</v>
      </c>
      <c r="C565" s="1" t="s">
        <v>930</v>
      </c>
      <c r="D565" s="31">
        <f>insumos!$H$177*21</f>
        <v>2.0581441176470587</v>
      </c>
      <c r="AA565" s="263">
        <v>991591</v>
      </c>
      <c r="AB565" s="264" t="s">
        <v>931</v>
      </c>
      <c r="AC565" s="267"/>
      <c r="AD565" s="245"/>
    </row>
    <row r="566" spans="2:30" x14ac:dyDescent="0.25">
      <c r="B566" s="281">
        <v>5202</v>
      </c>
      <c r="C566" s="282" t="s">
        <v>586</v>
      </c>
      <c r="D566" s="31">
        <f>insumos!$H$114*21</f>
        <v>0.5532400000000001</v>
      </c>
      <c r="AA566" s="275" t="s">
        <v>492</v>
      </c>
      <c r="AB566" s="276" t="s">
        <v>495</v>
      </c>
      <c r="AC566" s="275" t="s">
        <v>467</v>
      </c>
      <c r="AD566" s="245"/>
    </row>
    <row r="567" spans="2:30" x14ac:dyDescent="0.25">
      <c r="B567" s="281">
        <v>6229</v>
      </c>
      <c r="C567" s="30" t="s">
        <v>588</v>
      </c>
      <c r="D567" s="31">
        <f>insumos!$I$265*21</f>
        <v>0.4519465996925162</v>
      </c>
      <c r="E567" s="296" t="s">
        <v>660</v>
      </c>
      <c r="AA567" s="278"/>
      <c r="AB567" s="279" t="s">
        <v>134</v>
      </c>
      <c r="AC567" s="278"/>
      <c r="AD567" s="245"/>
    </row>
    <row r="568" spans="2:30" x14ac:dyDescent="0.25">
      <c r="B568" s="281">
        <v>6254</v>
      </c>
      <c r="C568" s="30" t="s">
        <v>600</v>
      </c>
      <c r="D568" s="31">
        <f>+insumos!$I$208*21</f>
        <v>0.9336064471477443</v>
      </c>
      <c r="E568" s="296" t="s">
        <v>660</v>
      </c>
      <c r="AA568" s="281">
        <v>6184</v>
      </c>
      <c r="AB568" s="1" t="s">
        <v>502</v>
      </c>
      <c r="AC568" s="283">
        <f>insumos!$H$215</f>
        <v>0.6</v>
      </c>
      <c r="AD568" s="245"/>
    </row>
    <row r="569" spans="2:30" x14ac:dyDescent="0.25">
      <c r="B569" s="297"/>
      <c r="C569" s="298" t="s">
        <v>5</v>
      </c>
      <c r="D569" s="299">
        <f>SUM(D557:D568)</f>
        <v>6.767287024829448</v>
      </c>
      <c r="E569" s="296" t="s">
        <v>660</v>
      </c>
      <c r="AA569" s="281">
        <v>2037</v>
      </c>
      <c r="AB569" s="282" t="s">
        <v>511</v>
      </c>
      <c r="AC569" s="283">
        <f>+insumos!$H$268</f>
        <v>0.65</v>
      </c>
      <c r="AD569" s="245"/>
    </row>
    <row r="570" spans="2:30" x14ac:dyDescent="0.25">
      <c r="B570" s="281"/>
      <c r="C570" s="282" t="s">
        <v>587</v>
      </c>
      <c r="D570" s="304">
        <f>2180.18/187</f>
        <v>11.658716577540106</v>
      </c>
      <c r="E570" s="296" t="s">
        <v>660</v>
      </c>
      <c r="AA570" s="26" t="s">
        <v>533</v>
      </c>
      <c r="AB570" s="30" t="s">
        <v>534</v>
      </c>
      <c r="AC570" s="283">
        <f>insumos!$I$33</f>
        <v>0.049999554426770045</v>
      </c>
      <c r="AD570" s="287"/>
    </row>
    <row r="571" spans="2:30" x14ac:dyDescent="0.25">
      <c r="B571" s="281"/>
      <c r="C571" s="307" t="s">
        <v>599</v>
      </c>
      <c r="D571" s="308">
        <f>+D569/D570</f>
        <v>0.5804487123279302</v>
      </c>
      <c r="AA571" s="26">
        <v>3817</v>
      </c>
      <c r="AB571" s="243" t="s">
        <v>524</v>
      </c>
      <c r="AC571" s="289">
        <f>insumos!$I$103*1.8</f>
        <v>0.02088</v>
      </c>
      <c r="AD571" s="285" t="s">
        <v>538</v>
      </c>
    </row>
    <row r="572" spans="2:30" x14ac:dyDescent="0.25">
      <c r="B572" s="311"/>
      <c r="C572" s="307" t="s">
        <v>604</v>
      </c>
      <c r="D572" s="308">
        <f>D571*1.03</f>
        <v>0.5978621736977681</v>
      </c>
      <c r="E572" s="245"/>
      <c r="AA572" s="26">
        <v>2173</v>
      </c>
      <c r="AB572" s="243" t="s">
        <v>536</v>
      </c>
      <c r="AC572" s="289">
        <f>+insumos!$H$149*2</f>
        <v>0.0349502662966019</v>
      </c>
      <c r="AD572" s="1" t="s">
        <v>547</v>
      </c>
    </row>
    <row r="573" spans="5:30" x14ac:dyDescent="0.25">
      <c r="E573" s="245"/>
      <c r="AA573" s="281">
        <v>3636</v>
      </c>
      <c r="AB573" s="282" t="s">
        <v>550</v>
      </c>
      <c r="AC573" s="283">
        <f>+insumos!$H$121</f>
        <v>0.0445</v>
      </c>
      <c r="AD573" s="245"/>
    </row>
    <row r="574" spans="2:30" x14ac:dyDescent="0.25">
      <c r="B574" s="259">
        <v>438438</v>
      </c>
      <c r="C574" s="260" t="s">
        <v>932</v>
      </c>
      <c r="D574" s="259">
        <v>705</v>
      </c>
      <c r="E574" s="266">
        <f>D574/E2</f>
        <v>17.51117734724292</v>
      </c>
      <c r="AA574" s="292"/>
      <c r="AB574" s="279" t="s">
        <v>553</v>
      </c>
      <c r="AC574" s="293"/>
      <c r="AD574" s="245"/>
    </row>
    <row r="575" spans="2:30" x14ac:dyDescent="0.25">
      <c r="B575" s="275" t="s">
        <v>492</v>
      </c>
      <c r="C575" s="276" t="s">
        <v>495</v>
      </c>
      <c r="D575" s="275" t="s">
        <v>467</v>
      </c>
      <c r="AA575" s="26"/>
      <c r="AB575" s="30"/>
      <c r="AC575" s="283"/>
      <c r="AD575" s="1"/>
    </row>
    <row r="576" spans="2:30" x14ac:dyDescent="0.25">
      <c r="B576" s="278"/>
      <c r="C576" s="279" t="s">
        <v>134</v>
      </c>
      <c r="D576" s="278"/>
      <c r="E576" s="269"/>
      <c r="AA576" s="26"/>
      <c r="AB576" s="30"/>
      <c r="AC576" s="283"/>
      <c r="AD576" s="1"/>
    </row>
    <row r="577" spans="2:30" x14ac:dyDescent="0.25">
      <c r="B577" s="281">
        <v>3741</v>
      </c>
      <c r="C577" s="282" t="s">
        <v>500</v>
      </c>
      <c r="D577" s="31">
        <f>insumos!$G$213</f>
        <v>0.8355871886120997</v>
      </c>
      <c r="E577" s="245"/>
      <c r="AA577" s="297"/>
      <c r="AB577" s="298" t="s">
        <v>5</v>
      </c>
      <c r="AC577" s="299">
        <f>SUM(AC568:AC576)</f>
        <v>1.4003298207233719</v>
      </c>
      <c r="AD577" s="245"/>
    </row>
    <row r="578" spans="2:30" x14ac:dyDescent="0.25">
      <c r="B578" s="281">
        <v>3759</v>
      </c>
      <c r="C578" s="1" t="s">
        <v>507</v>
      </c>
      <c r="D578" s="31">
        <f>+insumos!$G$284</f>
        <v>1.1352416613292604</v>
      </c>
      <c r="E578" s="284"/>
      <c r="AA578" s="281"/>
      <c r="AB578" s="282" t="s">
        <v>587</v>
      </c>
      <c r="AC578" s="304">
        <f>140539.65/5165</f>
        <v>27.209999999999997</v>
      </c>
      <c r="AD578" s="245"/>
    </row>
    <row r="579" spans="2:30" x14ac:dyDescent="0.25">
      <c r="B579" s="281">
        <v>4541</v>
      </c>
      <c r="C579" s="282" t="s">
        <v>529</v>
      </c>
      <c r="D579" s="283">
        <f>insumos!$H$43</f>
        <v>0.022058823529411766</v>
      </c>
      <c r="E579" s="245"/>
      <c r="AA579" s="281"/>
      <c r="AB579" s="307" t="s">
        <v>599</v>
      </c>
      <c r="AC579" s="308">
        <f>+AC577/AC578</f>
        <v>0.05146379348487218</v>
      </c>
      <c r="AD579" s="245"/>
    </row>
    <row r="580" spans="2:30" x14ac:dyDescent="0.25">
      <c r="B580" s="26">
        <v>3817</v>
      </c>
      <c r="C580" s="243" t="s">
        <v>524</v>
      </c>
      <c r="D580" s="289">
        <f>insumos!$I$103*1.8</f>
        <v>0.02088</v>
      </c>
      <c r="E580" s="1" t="s">
        <v>538</v>
      </c>
      <c r="AA580" s="311"/>
      <c r="AB580" s="307" t="s">
        <v>604</v>
      </c>
      <c r="AC580" s="308">
        <f>AC579*1.03</f>
        <v>0.053007707289418345</v>
      </c>
      <c r="AD580" s="245"/>
    </row>
    <row r="581" spans="2:5" x14ac:dyDescent="0.25">
      <c r="B581" s="26">
        <v>2173</v>
      </c>
      <c r="C581" s="243" t="s">
        <v>536</v>
      </c>
      <c r="D581" s="289">
        <f>+insumos!$H$149*2</f>
        <v>0.0349502662966019</v>
      </c>
      <c r="E581" s="1" t="s">
        <v>547</v>
      </c>
    </row>
    <row r="582" spans="2:30" x14ac:dyDescent="0.25">
      <c r="B582" s="281">
        <v>3636</v>
      </c>
      <c r="C582" s="282" t="s">
        <v>550</v>
      </c>
      <c r="D582" s="283">
        <f>+insumos!$H$121</f>
        <v>0.0445</v>
      </c>
      <c r="AA582" s="263">
        <v>991593</v>
      </c>
      <c r="AB582" s="264" t="s">
        <v>933</v>
      </c>
      <c r="AC582" s="267"/>
      <c r="AD582" s="245"/>
    </row>
    <row r="583" spans="2:30" x14ac:dyDescent="0.25">
      <c r="B583" s="294"/>
      <c r="C583" s="279" t="s">
        <v>553</v>
      </c>
      <c r="D583" s="295"/>
      <c r="AA583" s="275" t="s">
        <v>492</v>
      </c>
      <c r="AB583" s="276" t="s">
        <v>495</v>
      </c>
      <c r="AC583" s="275" t="s">
        <v>467</v>
      </c>
      <c r="AD583" s="245"/>
    </row>
    <row r="584" spans="2:30" x14ac:dyDescent="0.25">
      <c r="B584" s="26" t="s">
        <v>934</v>
      </c>
      <c r="C584" s="1" t="s">
        <v>935</v>
      </c>
      <c r="D584" s="31">
        <f>insumos!$H$160*8</f>
        <v>0.784</v>
      </c>
      <c r="E584" s="296" t="s">
        <v>561</v>
      </c>
      <c r="AA584" s="278"/>
      <c r="AB584" s="279" t="s">
        <v>134</v>
      </c>
      <c r="AC584" s="278"/>
      <c r="AD584" s="245"/>
    </row>
    <row r="585" spans="2:30" x14ac:dyDescent="0.25">
      <c r="B585" s="281">
        <v>5202</v>
      </c>
      <c r="C585" s="282" t="s">
        <v>586</v>
      </c>
      <c r="D585" s="31">
        <f>insumos!$H$114*8</f>
        <v>0.21075809523809524</v>
      </c>
      <c r="E585" s="296" t="s">
        <v>561</v>
      </c>
      <c r="AA585" s="281">
        <v>6184</v>
      </c>
      <c r="AB585" s="1" t="s">
        <v>502</v>
      </c>
      <c r="AC585" s="283">
        <f>insumos!$H$215</f>
        <v>0.6</v>
      </c>
      <c r="AD585" s="245"/>
    </row>
    <row r="586" spans="2:30" x14ac:dyDescent="0.25">
      <c r="B586" s="26" t="s">
        <v>569</v>
      </c>
      <c r="C586" s="1" t="s">
        <v>570</v>
      </c>
      <c r="D586" s="31">
        <f>insumos!$H$90*8</f>
        <v>2.4640000000000004</v>
      </c>
      <c r="E586" s="296" t="s">
        <v>561</v>
      </c>
      <c r="AA586" s="281">
        <v>2037</v>
      </c>
      <c r="AB586" s="282" t="s">
        <v>511</v>
      </c>
      <c r="AC586" s="283">
        <f>+insumos!$H$268</f>
        <v>0.65</v>
      </c>
      <c r="AD586" s="245"/>
    </row>
    <row r="587" spans="2:30" x14ac:dyDescent="0.25">
      <c r="B587" s="297"/>
      <c r="C587" s="298" t="s">
        <v>5</v>
      </c>
      <c r="D587" s="299">
        <f>SUM(D577:D586)</f>
        <v>5.55197603500547</v>
      </c>
      <c r="AA587" s="281">
        <v>4542</v>
      </c>
      <c r="AB587" s="282" t="s">
        <v>527</v>
      </c>
      <c r="AC587" s="283">
        <f>insumos!$I$35</f>
        <v>0.022058823529411763</v>
      </c>
      <c r="AD587" s="245"/>
    </row>
    <row r="588" spans="2:30" x14ac:dyDescent="0.25">
      <c r="B588" s="281"/>
      <c r="C588" s="282" t="s">
        <v>587</v>
      </c>
      <c r="D588" s="304">
        <f>931.59/104</f>
        <v>8.957596153846154</v>
      </c>
      <c r="AA588" s="26">
        <v>3817</v>
      </c>
      <c r="AB588" s="243" t="s">
        <v>524</v>
      </c>
      <c r="AC588" s="289">
        <f>insumos!$I$103*1.8</f>
        <v>0.02088</v>
      </c>
      <c r="AD588" s="285" t="s">
        <v>538</v>
      </c>
    </row>
    <row r="589" spans="2:30" x14ac:dyDescent="0.25">
      <c r="B589" s="281"/>
      <c r="C589" s="307" t="s">
        <v>599</v>
      </c>
      <c r="D589" s="308">
        <f>+D587/D588</f>
        <v>0.6198064681250002</v>
      </c>
      <c r="AA589" s="26">
        <v>2173</v>
      </c>
      <c r="AB589" s="243" t="s">
        <v>536</v>
      </c>
      <c r="AC589" s="289">
        <f>+insumos!$H$149*2</f>
        <v>0.0349502662966019</v>
      </c>
      <c r="AD589" s="1" t="s">
        <v>547</v>
      </c>
    </row>
    <row r="590" spans="2:30" x14ac:dyDescent="0.25">
      <c r="B590" s="311"/>
      <c r="C590" s="307" t="s">
        <v>604</v>
      </c>
      <c r="D590" s="308">
        <f>D589*1.03</f>
        <v>0.6384006621687502</v>
      </c>
      <c r="AA590" s="281">
        <v>3636</v>
      </c>
      <c r="AB590" s="282" t="s">
        <v>550</v>
      </c>
      <c r="AC590" s="283">
        <f>+insumos!$H$121</f>
        <v>0.0445</v>
      </c>
      <c r="AD590" s="245"/>
    </row>
    <row r="591" spans="5:30" x14ac:dyDescent="0.25">
      <c r="E591" s="245"/>
      <c r="AA591" s="292"/>
      <c r="AB591" s="279" t="s">
        <v>553</v>
      </c>
      <c r="AC591" s="293"/>
      <c r="AD591" s="245"/>
    </row>
    <row r="592" spans="5:30" x14ac:dyDescent="0.25">
      <c r="E592" s="245"/>
      <c r="AA592" s="26" t="s">
        <v>653</v>
      </c>
      <c r="AB592" s="30" t="s">
        <v>654</v>
      </c>
      <c r="AC592" s="283">
        <f>insumos!$H$224*10</f>
        <v>1</v>
      </c>
      <c r="AD592" s="1" t="s">
        <v>563</v>
      </c>
    </row>
    <row r="593" spans="27:30" x14ac:dyDescent="0.25">
      <c r="AA593" s="26"/>
      <c r="AB593" s="1"/>
      <c r="AC593" s="283"/>
      <c r="AD593" s="1"/>
    </row>
    <row r="594" spans="27:30" x14ac:dyDescent="0.25">
      <c r="AA594" s="297"/>
      <c r="AB594" s="298" t="s">
        <v>5</v>
      </c>
      <c r="AC594" s="299">
        <f>SUM(AC585:AC593)</f>
        <v>2.3723890898260134</v>
      </c>
      <c r="AD594" s="245"/>
    </row>
    <row r="595" spans="27:30" x14ac:dyDescent="0.25">
      <c r="AA595" s="281"/>
      <c r="AB595" s="282" t="s">
        <v>587</v>
      </c>
      <c r="AC595" s="304">
        <f>21380/1069</f>
        <v>20</v>
      </c>
      <c r="AD595" s="245"/>
    </row>
    <row r="596" spans="27:30" x14ac:dyDescent="0.25">
      <c r="AA596" s="281"/>
      <c r="AB596" s="307" t="s">
        <v>599</v>
      </c>
      <c r="AC596" s="308">
        <f>+AC594/AC595</f>
        <v>0.11861945449130067</v>
      </c>
      <c r="AD596" s="245"/>
    </row>
    <row r="597" spans="27:30" x14ac:dyDescent="0.25">
      <c r="AA597" s="311"/>
      <c r="AB597" s="307" t="s">
        <v>604</v>
      </c>
      <c r="AC597" s="308">
        <f>AC596*1.03</f>
        <v>0.1221780381260397</v>
      </c>
      <c r="AD597" s="245"/>
    </row>
    <row r="599" spans="27:30" x14ac:dyDescent="0.25">
      <c r="AA599" s="263">
        <v>991618</v>
      </c>
      <c r="AB599" s="264" t="s">
        <v>936</v>
      </c>
      <c r="AC599" s="267"/>
      <c r="AD599" s="245"/>
    </row>
    <row r="600" spans="27:30" x14ac:dyDescent="0.25">
      <c r="AA600" s="275" t="s">
        <v>492</v>
      </c>
      <c r="AB600" s="276" t="s">
        <v>495</v>
      </c>
      <c r="AC600" s="275" t="s">
        <v>467</v>
      </c>
      <c r="AD600" s="245"/>
    </row>
    <row r="601" spans="27:30" x14ac:dyDescent="0.25">
      <c r="AA601" s="278"/>
      <c r="AB601" s="279" t="s">
        <v>134</v>
      </c>
      <c r="AC601" s="278"/>
      <c r="AD601" s="245"/>
    </row>
    <row r="602" spans="27:30" x14ac:dyDescent="0.25">
      <c r="AA602" s="281">
        <v>6184</v>
      </c>
      <c r="AB602" s="1" t="s">
        <v>502</v>
      </c>
      <c r="AC602" s="283">
        <f>insumos!$H$215</f>
        <v>0.6</v>
      </c>
      <c r="AD602" s="245"/>
    </row>
    <row r="603" spans="27:30" x14ac:dyDescent="0.25">
      <c r="AA603" s="281">
        <v>2037</v>
      </c>
      <c r="AB603" s="282" t="s">
        <v>511</v>
      </c>
      <c r="AC603" s="283">
        <f>+insumos!$H$268</f>
        <v>0.65</v>
      </c>
      <c r="AD603" s="245"/>
    </row>
    <row r="604" spans="27:30" x14ac:dyDescent="0.25">
      <c r="AA604" s="281">
        <v>4542</v>
      </c>
      <c r="AB604" s="282" t="s">
        <v>527</v>
      </c>
      <c r="AC604" s="283">
        <f>insumos!$I$35</f>
        <v>0.022058823529411763</v>
      </c>
      <c r="AD604" s="245"/>
    </row>
    <row r="605" spans="27:30" x14ac:dyDescent="0.25">
      <c r="AA605" s="26">
        <v>3817</v>
      </c>
      <c r="AB605" s="243" t="s">
        <v>524</v>
      </c>
      <c r="AC605" s="289">
        <f>insumos!$I$103*1.8</f>
        <v>0.02088</v>
      </c>
      <c r="AD605" s="285" t="s">
        <v>538</v>
      </c>
    </row>
    <row r="606" spans="27:30" x14ac:dyDescent="0.25">
      <c r="AA606" s="26">
        <v>2173</v>
      </c>
      <c r="AB606" s="243" t="s">
        <v>536</v>
      </c>
      <c r="AC606" s="289">
        <f>+insumos!$H$149*2</f>
        <v>0.0349502662966019</v>
      </c>
      <c r="AD606" s="1" t="s">
        <v>547</v>
      </c>
    </row>
    <row r="607" spans="27:30" x14ac:dyDescent="0.25">
      <c r="AA607" s="281">
        <v>3636</v>
      </c>
      <c r="AB607" s="282" t="s">
        <v>550</v>
      </c>
      <c r="AC607" s="283">
        <f>+insumos!$H$121</f>
        <v>0.0445</v>
      </c>
      <c r="AD607" s="245"/>
    </row>
    <row r="608" spans="27:30" x14ac:dyDescent="0.25">
      <c r="AA608" s="292"/>
      <c r="AB608" s="279" t="s">
        <v>553</v>
      </c>
      <c r="AC608" s="293"/>
      <c r="AD608" s="245"/>
    </row>
    <row r="609" spans="27:30" x14ac:dyDescent="0.25">
      <c r="AA609" s="26" t="s">
        <v>789</v>
      </c>
      <c r="AB609" s="30" t="s">
        <v>790</v>
      </c>
      <c r="AC609" s="283">
        <f>insumos!$I$31*3</f>
        <v>0.195</v>
      </c>
      <c r="AD609" s="1" t="s">
        <v>526</v>
      </c>
    </row>
    <row r="610" spans="27:30" x14ac:dyDescent="0.25">
      <c r="AA610" s="26" t="s">
        <v>574</v>
      </c>
      <c r="AB610" s="1" t="s">
        <v>575</v>
      </c>
      <c r="AC610" s="283">
        <f>insumos!$H$120*3</f>
        <v>0.0597</v>
      </c>
      <c r="AD610" s="1" t="s">
        <v>526</v>
      </c>
    </row>
    <row r="611" spans="27:30" x14ac:dyDescent="0.25">
      <c r="AA611" s="297"/>
      <c r="AB611" s="298" t="s">
        <v>5</v>
      </c>
      <c r="AC611" s="299">
        <f>SUM(AC602:AC610)</f>
        <v>1.6270890898260137</v>
      </c>
      <c r="AD611" s="245"/>
    </row>
    <row r="612" spans="27:30" x14ac:dyDescent="0.25">
      <c r="AA612" s="281"/>
      <c r="AB612" s="282" t="s">
        <v>587</v>
      </c>
      <c r="AC612" s="304">
        <f>348856.69/20289</f>
        <v>17.19437577012174</v>
      </c>
      <c r="AD612" s="245"/>
    </row>
    <row r="613" spans="27:30" x14ac:dyDescent="0.25">
      <c r="AA613" s="281"/>
      <c r="AB613" s="307" t="s">
        <v>599</v>
      </c>
      <c r="AC613" s="308">
        <f>+AC611/AC612</f>
        <v>0.09462914569154454</v>
      </c>
      <c r="AD613" s="245"/>
    </row>
    <row r="614" spans="27:30" x14ac:dyDescent="0.25">
      <c r="AA614" s="311"/>
      <c r="AB614" s="307" t="s">
        <v>604</v>
      </c>
      <c r="AC614" s="308">
        <f>AC613*1.03</f>
        <v>0.09746802006229088</v>
      </c>
      <c r="AD614" s="245"/>
    </row>
    <row r="616" spans="27:30" x14ac:dyDescent="0.25">
      <c r="AA616" s="263">
        <v>991693</v>
      </c>
      <c r="AB616" s="264" t="s">
        <v>937</v>
      </c>
      <c r="AC616" s="267"/>
      <c r="AD616" s="245"/>
    </row>
    <row r="617" spans="27:30" x14ac:dyDescent="0.25">
      <c r="AA617" s="275" t="s">
        <v>492</v>
      </c>
      <c r="AB617" s="276" t="s">
        <v>495</v>
      </c>
      <c r="AC617" s="275" t="s">
        <v>467</v>
      </c>
      <c r="AD617" s="245"/>
    </row>
    <row r="618" spans="27:30" x14ac:dyDescent="0.25">
      <c r="AA618" s="278"/>
      <c r="AB618" s="279" t="s">
        <v>134</v>
      </c>
      <c r="AC618" s="278"/>
      <c r="AD618" s="245"/>
    </row>
    <row r="619" spans="27:30" x14ac:dyDescent="0.25">
      <c r="AA619" s="281">
        <v>6184</v>
      </c>
      <c r="AB619" s="1" t="s">
        <v>502</v>
      </c>
      <c r="AC619" s="283">
        <f>insumos!$H$215</f>
        <v>0.6</v>
      </c>
      <c r="AD619" s="245"/>
    </row>
    <row r="620" spans="27:30" x14ac:dyDescent="0.25">
      <c r="AA620" s="281">
        <v>2037</v>
      </c>
      <c r="AB620" s="282" t="s">
        <v>511</v>
      </c>
      <c r="AC620" s="283">
        <f>+insumos!$H$268</f>
        <v>0.65</v>
      </c>
      <c r="AD620" s="245"/>
    </row>
    <row r="621" spans="27:30" x14ac:dyDescent="0.25">
      <c r="AA621" s="281">
        <v>4542</v>
      </c>
      <c r="AB621" s="282" t="s">
        <v>527</v>
      </c>
      <c r="AC621" s="283">
        <f>insumos!$I$35</f>
        <v>0.022058823529411763</v>
      </c>
      <c r="AD621" s="245"/>
    </row>
    <row r="622" spans="27:30" x14ac:dyDescent="0.25">
      <c r="AA622" s="26">
        <v>3817</v>
      </c>
      <c r="AB622" s="243" t="s">
        <v>524</v>
      </c>
      <c r="AC622" s="289">
        <f>insumos!$I$103*1.8</f>
        <v>0.02088</v>
      </c>
      <c r="AD622" s="285" t="s">
        <v>538</v>
      </c>
    </row>
    <row r="623" spans="27:30" x14ac:dyDescent="0.25">
      <c r="AA623" s="26">
        <v>2173</v>
      </c>
      <c r="AB623" s="243" t="s">
        <v>536</v>
      </c>
      <c r="AC623" s="289">
        <f>+insumos!$H$149*2</f>
        <v>0.0349502662966019</v>
      </c>
      <c r="AD623" s="1" t="s">
        <v>547</v>
      </c>
    </row>
    <row r="624" spans="27:30" x14ac:dyDescent="0.25">
      <c r="AA624" s="281">
        <v>3636</v>
      </c>
      <c r="AB624" s="282" t="s">
        <v>550</v>
      </c>
      <c r="AC624" s="283">
        <f>+insumos!$H$121</f>
        <v>0.0445</v>
      </c>
      <c r="AD624" s="245"/>
    </row>
    <row r="625" spans="27:30" x14ac:dyDescent="0.25">
      <c r="AA625" s="292"/>
      <c r="AB625" s="279" t="s">
        <v>553</v>
      </c>
      <c r="AC625" s="293"/>
      <c r="AD625" s="245"/>
    </row>
    <row r="626" spans="27:30" x14ac:dyDescent="0.25">
      <c r="AA626" s="26"/>
      <c r="AB626" s="30"/>
      <c r="AC626" s="283"/>
      <c r="AD626" s="1"/>
    </row>
    <row r="627" spans="27:30" x14ac:dyDescent="0.25">
      <c r="AA627" s="26"/>
      <c r="AB627" s="1"/>
      <c r="AC627" s="283"/>
      <c r="AD627" s="1"/>
    </row>
    <row r="628" spans="27:30" x14ac:dyDescent="0.25">
      <c r="AA628" s="297"/>
      <c r="AB628" s="298" t="s">
        <v>5</v>
      </c>
      <c r="AC628" s="299">
        <f>SUM(AC619:AC627)</f>
        <v>1.3723890898260136</v>
      </c>
      <c r="AD628" s="245"/>
    </row>
    <row r="629" spans="27:30" x14ac:dyDescent="0.25">
      <c r="AA629" s="281"/>
      <c r="AB629" s="282" t="s">
        <v>587</v>
      </c>
      <c r="AC629" s="304">
        <f>12075/483</f>
        <v>25</v>
      </c>
      <c r="AD629" s="245"/>
    </row>
    <row r="630" spans="27:30" x14ac:dyDescent="0.25">
      <c r="AA630" s="281"/>
      <c r="AB630" s="307" t="s">
        <v>599</v>
      </c>
      <c r="AC630" s="308">
        <f>+AC628/AC629</f>
        <v>0.05489556359304054</v>
      </c>
      <c r="AD630" s="245"/>
    </row>
    <row r="631" spans="27:30" x14ac:dyDescent="0.25">
      <c r="AA631" s="311"/>
      <c r="AB631" s="307" t="s">
        <v>604</v>
      </c>
      <c r="AC631" s="308">
        <f>AC630*1.03</f>
        <v>0.05654243050083176</v>
      </c>
      <c r="AD631" s="245"/>
    </row>
    <row r="633" spans="27:30" x14ac:dyDescent="0.25">
      <c r="AA633" s="263">
        <v>991790</v>
      </c>
      <c r="AB633" s="264" t="s">
        <v>938</v>
      </c>
      <c r="AC633" s="267"/>
      <c r="AD633" s="245"/>
    </row>
    <row r="634" spans="27:30" x14ac:dyDescent="0.25">
      <c r="AA634" s="275" t="s">
        <v>492</v>
      </c>
      <c r="AB634" s="276" t="s">
        <v>495</v>
      </c>
      <c r="AC634" s="275" t="s">
        <v>467</v>
      </c>
      <c r="AD634" s="245"/>
    </row>
    <row r="635" spans="27:30" x14ac:dyDescent="0.25">
      <c r="AA635" s="278"/>
      <c r="AB635" s="279" t="s">
        <v>134</v>
      </c>
      <c r="AC635" s="278"/>
      <c r="AD635" s="245"/>
    </row>
    <row r="636" spans="27:30" x14ac:dyDescent="0.25">
      <c r="AA636" s="281">
        <v>6184</v>
      </c>
      <c r="AB636" s="1" t="s">
        <v>502</v>
      </c>
      <c r="AC636" s="283">
        <f>insumos!$H$215</f>
        <v>0.6</v>
      </c>
      <c r="AD636" s="245"/>
    </row>
    <row r="637" spans="27:30" x14ac:dyDescent="0.25">
      <c r="AA637" s="281">
        <v>2037</v>
      </c>
      <c r="AB637" s="282" t="s">
        <v>511</v>
      </c>
      <c r="AC637" s="283">
        <f>+insumos!$H$268</f>
        <v>0.65</v>
      </c>
      <c r="AD637" s="245"/>
    </row>
    <row r="638" spans="27:30" x14ac:dyDescent="0.25">
      <c r="AA638" s="26" t="s">
        <v>533</v>
      </c>
      <c r="AB638" s="30" t="s">
        <v>534</v>
      </c>
      <c r="AC638" s="283">
        <f>insumos!$I$33</f>
        <v>0.049999554426770045</v>
      </c>
      <c r="AD638" s="287"/>
    </row>
    <row r="639" spans="27:30" x14ac:dyDescent="0.25">
      <c r="AA639" s="26">
        <v>3817</v>
      </c>
      <c r="AB639" s="243" t="s">
        <v>524</v>
      </c>
      <c r="AC639" s="289">
        <f>insumos!$I$103*1.8</f>
        <v>0.02088</v>
      </c>
      <c r="AD639" s="285" t="s">
        <v>538</v>
      </c>
    </row>
    <row r="640" spans="27:30" x14ac:dyDescent="0.25">
      <c r="AA640" s="26">
        <v>2173</v>
      </c>
      <c r="AB640" s="243" t="s">
        <v>536</v>
      </c>
      <c r="AC640" s="289">
        <f>+insumos!$H$149*2</f>
        <v>0.0349502662966019</v>
      </c>
      <c r="AD640" s="1" t="s">
        <v>547</v>
      </c>
    </row>
    <row r="641" spans="27:30" x14ac:dyDescent="0.25">
      <c r="AA641" s="281">
        <v>3636</v>
      </c>
      <c r="AB641" s="282" t="s">
        <v>550</v>
      </c>
      <c r="AC641" s="283">
        <f>+insumos!$H$121</f>
        <v>0.0445</v>
      </c>
      <c r="AD641" s="245"/>
    </row>
    <row r="642" spans="27:30" x14ac:dyDescent="0.25">
      <c r="AA642" s="292"/>
      <c r="AB642" s="279" t="s">
        <v>553</v>
      </c>
      <c r="AC642" s="293"/>
      <c r="AD642" s="245"/>
    </row>
    <row r="643" spans="27:30" x14ac:dyDescent="0.25">
      <c r="AA643" s="26"/>
      <c r="AB643" s="30"/>
      <c r="AC643" s="283"/>
      <c r="AD643" s="1"/>
    </row>
    <row r="644" spans="27:30" x14ac:dyDescent="0.25">
      <c r="AA644" s="26"/>
      <c r="AB644" s="30"/>
      <c r="AC644" s="283"/>
      <c r="AD644" s="1"/>
    </row>
    <row r="645" spans="27:30" x14ac:dyDescent="0.25">
      <c r="AA645" s="297"/>
      <c r="AB645" s="298" t="s">
        <v>5</v>
      </c>
      <c r="AC645" s="299">
        <f>SUM(AC636:AC644)</f>
        <v>1.4003298207233719</v>
      </c>
      <c r="AD645" s="245"/>
    </row>
    <row r="646" spans="27:30" x14ac:dyDescent="0.25">
      <c r="AA646" s="281"/>
      <c r="AB646" s="282" t="s">
        <v>587</v>
      </c>
      <c r="AC646" s="304">
        <f>140539.65/5165</f>
        <v>27.209999999999997</v>
      </c>
      <c r="AD646" s="245"/>
    </row>
    <row r="647" spans="27:30" x14ac:dyDescent="0.25">
      <c r="AA647" s="281"/>
      <c r="AB647" s="307" t="s">
        <v>599</v>
      </c>
      <c r="AC647" s="308">
        <f>+AC645/AC646</f>
        <v>0.05146379348487218</v>
      </c>
      <c r="AD647" s="245"/>
    </row>
    <row r="648" spans="27:30" x14ac:dyDescent="0.25">
      <c r="AA648" s="311"/>
      <c r="AB648" s="307" t="s">
        <v>604</v>
      </c>
      <c r="AC648" s="308">
        <f>AC647*1.03</f>
        <v>0.053007707289418345</v>
      </c>
      <c r="AD648" s="245"/>
    </row>
    <row r="650" spans="27:30" x14ac:dyDescent="0.25">
      <c r="AA650" s="263">
        <v>991890</v>
      </c>
      <c r="AB650" s="264" t="s">
        <v>939</v>
      </c>
      <c r="AC650" s="267"/>
      <c r="AD650" s="245"/>
    </row>
    <row r="651" spans="27:30" x14ac:dyDescent="0.25">
      <c r="AA651" s="275" t="s">
        <v>492</v>
      </c>
      <c r="AB651" s="276" t="s">
        <v>495</v>
      </c>
      <c r="AC651" s="275" t="s">
        <v>467</v>
      </c>
      <c r="AD651" s="245"/>
    </row>
    <row r="652" spans="27:30" x14ac:dyDescent="0.25">
      <c r="AA652" s="278"/>
      <c r="AB652" s="279" t="s">
        <v>134</v>
      </c>
      <c r="AC652" s="278"/>
      <c r="AD652" s="245"/>
    </row>
    <row r="653" spans="27:30" x14ac:dyDescent="0.25">
      <c r="AA653" s="281">
        <v>6184</v>
      </c>
      <c r="AB653" s="1" t="s">
        <v>502</v>
      </c>
      <c r="AC653" s="283">
        <f>insumos!$H$215</f>
        <v>0.6</v>
      </c>
      <c r="AD653" s="245"/>
    </row>
    <row r="654" spans="27:30" x14ac:dyDescent="0.25">
      <c r="AA654" s="281">
        <v>2037</v>
      </c>
      <c r="AB654" s="282" t="s">
        <v>511</v>
      </c>
      <c r="AC654" s="283">
        <f>+insumos!$H$268</f>
        <v>0.65</v>
      </c>
      <c r="AD654" s="245"/>
    </row>
    <row r="655" spans="27:30" x14ac:dyDescent="0.25">
      <c r="AA655" s="26" t="s">
        <v>533</v>
      </c>
      <c r="AB655" s="30" t="s">
        <v>534</v>
      </c>
      <c r="AC655" s="283">
        <f>insumos!$I$33</f>
        <v>0.049999554426770045</v>
      </c>
      <c r="AD655" s="287"/>
    </row>
    <row r="656" spans="27:30" x14ac:dyDescent="0.25">
      <c r="AA656" s="26">
        <v>3817</v>
      </c>
      <c r="AB656" s="243" t="s">
        <v>524</v>
      </c>
      <c r="AC656" s="289">
        <f>insumos!$I$103*1.8</f>
        <v>0.02088</v>
      </c>
      <c r="AD656" s="285" t="s">
        <v>538</v>
      </c>
    </row>
    <row r="657" spans="27:30" x14ac:dyDescent="0.25">
      <c r="AA657" s="26">
        <v>2173</v>
      </c>
      <c r="AB657" s="243" t="s">
        <v>536</v>
      </c>
      <c r="AC657" s="289">
        <f>+insumos!$H$149*2</f>
        <v>0.0349502662966019</v>
      </c>
      <c r="AD657" s="1" t="s">
        <v>547</v>
      </c>
    </row>
    <row r="658" spans="27:30" x14ac:dyDescent="0.25">
      <c r="AA658" s="281">
        <v>3636</v>
      </c>
      <c r="AB658" s="282" t="s">
        <v>550</v>
      </c>
      <c r="AC658" s="283">
        <f>+insumos!$H$121</f>
        <v>0.0445</v>
      </c>
      <c r="AD658" s="245"/>
    </row>
    <row r="659" spans="27:30" x14ac:dyDescent="0.25">
      <c r="AA659" s="292"/>
      <c r="AB659" s="279" t="s">
        <v>553</v>
      </c>
      <c r="AC659" s="293"/>
      <c r="AD659" s="245"/>
    </row>
    <row r="660" spans="27:30" x14ac:dyDescent="0.25">
      <c r="AA660" s="26"/>
      <c r="AB660" s="30"/>
      <c r="AC660" s="283"/>
      <c r="AD660" s="1"/>
    </row>
    <row r="661" spans="27:30" x14ac:dyDescent="0.25">
      <c r="AA661" s="26"/>
      <c r="AB661" s="30"/>
      <c r="AC661" s="283"/>
      <c r="AD661" s="1"/>
    </row>
    <row r="662" spans="27:30" x14ac:dyDescent="0.25">
      <c r="AA662" s="297"/>
      <c r="AB662" s="298" t="s">
        <v>5</v>
      </c>
      <c r="AC662" s="299">
        <f>SUM(AC653:AC661)</f>
        <v>1.4003298207233719</v>
      </c>
      <c r="AD662" s="245"/>
    </row>
    <row r="663" spans="27:30" x14ac:dyDescent="0.25">
      <c r="AA663" s="281"/>
      <c r="AB663" s="282" t="s">
        <v>587</v>
      </c>
      <c r="AC663" s="304">
        <f>140539.65/5165</f>
        <v>27.209999999999997</v>
      </c>
      <c r="AD663" s="245"/>
    </row>
    <row r="664" spans="27:30" x14ac:dyDescent="0.25">
      <c r="AA664" s="281"/>
      <c r="AB664" s="307" t="s">
        <v>599</v>
      </c>
      <c r="AC664" s="308">
        <f>+AC662/AC663</f>
        <v>0.05146379348487218</v>
      </c>
      <c r="AD664" s="245"/>
    </row>
    <row r="665" spans="27:30" x14ac:dyDescent="0.25">
      <c r="AA665" s="311"/>
      <c r="AB665" s="307" t="s">
        <v>604</v>
      </c>
      <c r="AC665" s="308">
        <f>AC664*1.03</f>
        <v>0.053007707289418345</v>
      </c>
      <c r="AD665" s="245"/>
    </row>
    <row r="667" spans="27:30" x14ac:dyDescent="0.25">
      <c r="AA667" s="263">
        <v>991860</v>
      </c>
      <c r="AB667" s="264" t="s">
        <v>940</v>
      </c>
      <c r="AC667" s="267"/>
      <c r="AD667" s="245"/>
    </row>
    <row r="668" spans="27:30" x14ac:dyDescent="0.25">
      <c r="AA668" s="275" t="s">
        <v>492</v>
      </c>
      <c r="AB668" s="276" t="s">
        <v>495</v>
      </c>
      <c r="AC668" s="275" t="s">
        <v>467</v>
      </c>
      <c r="AD668" s="245"/>
    </row>
    <row r="669" spans="27:30" x14ac:dyDescent="0.25">
      <c r="AA669" s="278"/>
      <c r="AB669" s="279" t="s">
        <v>134</v>
      </c>
      <c r="AC669" s="278"/>
      <c r="AD669" s="245"/>
    </row>
    <row r="670" spans="27:30" x14ac:dyDescent="0.25">
      <c r="AA670" s="281">
        <v>6184</v>
      </c>
      <c r="AB670" s="1" t="s">
        <v>502</v>
      </c>
      <c r="AC670" s="283">
        <f>insumos!$H$215</f>
        <v>0.6</v>
      </c>
      <c r="AD670" s="245"/>
    </row>
    <row r="671" spans="27:30" x14ac:dyDescent="0.25">
      <c r="AA671" s="281">
        <v>2037</v>
      </c>
      <c r="AB671" s="282" t="s">
        <v>511</v>
      </c>
      <c r="AC671" s="283">
        <f>+insumos!$H$268</f>
        <v>0.65</v>
      </c>
      <c r="AD671" s="245"/>
    </row>
    <row r="672" spans="27:30" x14ac:dyDescent="0.25">
      <c r="AA672" s="281">
        <v>4542</v>
      </c>
      <c r="AB672" s="282" t="s">
        <v>527</v>
      </c>
      <c r="AC672" s="283">
        <f>insumos!$I$35</f>
        <v>0.022058823529411763</v>
      </c>
      <c r="AD672" s="245"/>
    </row>
    <row r="673" spans="27:30" x14ac:dyDescent="0.25">
      <c r="AA673" s="26">
        <v>3817</v>
      </c>
      <c r="AB673" s="243" t="s">
        <v>524</v>
      </c>
      <c r="AC673" s="289">
        <f>insumos!$I$103*1.8</f>
        <v>0.02088</v>
      </c>
      <c r="AD673" s="285" t="s">
        <v>538</v>
      </c>
    </row>
    <row r="674" spans="27:30" x14ac:dyDescent="0.25">
      <c r="AA674" s="26">
        <v>2173</v>
      </c>
      <c r="AB674" s="243" t="s">
        <v>536</v>
      </c>
      <c r="AC674" s="289">
        <f>+insumos!$H$149*2</f>
        <v>0.0349502662966019</v>
      </c>
      <c r="AD674" s="1" t="s">
        <v>547</v>
      </c>
    </row>
    <row r="675" spans="27:30" x14ac:dyDescent="0.25">
      <c r="AA675" s="281">
        <v>3636</v>
      </c>
      <c r="AB675" s="282" t="s">
        <v>550</v>
      </c>
      <c r="AC675" s="283">
        <f>+insumos!$H$121</f>
        <v>0.0445</v>
      </c>
      <c r="AD675" s="245"/>
    </row>
    <row r="676" spans="27:30" x14ac:dyDescent="0.25">
      <c r="AA676" s="292"/>
      <c r="AB676" s="279" t="s">
        <v>553</v>
      </c>
      <c r="AC676" s="293"/>
      <c r="AD676" s="245"/>
    </row>
    <row r="677" spans="27:30" x14ac:dyDescent="0.25">
      <c r="AA677" s="26" t="s">
        <v>653</v>
      </c>
      <c r="AB677" s="30" t="s">
        <v>654</v>
      </c>
      <c r="AC677" s="283">
        <f>insumos!$H$224</f>
        <v>0.1</v>
      </c>
      <c r="AD677" s="1"/>
    </row>
    <row r="678" spans="27:30" x14ac:dyDescent="0.25">
      <c r="AA678" s="26"/>
      <c r="AB678" s="1"/>
      <c r="AC678" s="283"/>
      <c r="AD678" s="1"/>
    </row>
    <row r="679" spans="27:30" x14ac:dyDescent="0.25">
      <c r="AA679" s="297"/>
      <c r="AB679" s="298" t="s">
        <v>5</v>
      </c>
      <c r="AC679" s="299">
        <f>SUM(AC670:AC678)</f>
        <v>1.4723890898260137</v>
      </c>
      <c r="AD679" s="245"/>
    </row>
    <row r="680" spans="27:30" x14ac:dyDescent="0.25">
      <c r="AA680" s="281"/>
      <c r="AB680" s="282" t="s">
        <v>587</v>
      </c>
      <c r="AC680" s="304">
        <f>176337.78/8983</f>
        <v>19.630165868863408</v>
      </c>
      <c r="AD680" s="245"/>
    </row>
    <row r="681" spans="27:30" x14ac:dyDescent="0.25">
      <c r="AA681" s="281"/>
      <c r="AB681" s="307" t="s">
        <v>599</v>
      </c>
      <c r="AC681" s="308">
        <f>+AC679/AC680</f>
        <v>0.07500645178762647</v>
      </c>
      <c r="AD681" s="245"/>
    </row>
    <row r="682" spans="27:30" x14ac:dyDescent="0.25">
      <c r="AA682" s="311"/>
      <c r="AB682" s="307" t="s">
        <v>604</v>
      </c>
      <c r="AC682" s="308">
        <f>AC681*1.03</f>
        <v>0.07725664534125526</v>
      </c>
      <c r="AD682" s="245"/>
    </row>
  </sheetData>
  <mergeCells count="40">
    <mergeCell ref="E1:F1"/>
    <mergeCell ref="J1:K1"/>
    <mergeCell ref="O1:P1"/>
    <mergeCell ref="T1:U1"/>
    <mergeCell ref="Y1:Z1"/>
    <mergeCell ref="AD1:AE1"/>
    <mergeCell ref="AI1:AJ1"/>
    <mergeCell ref="B2:D2"/>
    <mergeCell ref="E2:F2"/>
    <mergeCell ref="G2:I2"/>
    <mergeCell ref="J2:K2"/>
    <mergeCell ref="L2:N2"/>
    <mergeCell ref="O2:P2"/>
    <mergeCell ref="Q2:S2"/>
    <mergeCell ref="T2:U2"/>
    <mergeCell ref="V2:X2"/>
    <mergeCell ref="Y2:Z2"/>
    <mergeCell ref="AA2:AC2"/>
    <mergeCell ref="AD2:AE2"/>
    <mergeCell ref="AF2:AH2"/>
    <mergeCell ref="AI2:AJ2"/>
    <mergeCell ref="AK2:AM2"/>
    <mergeCell ref="AP2:AR2"/>
    <mergeCell ref="AU2:AW2"/>
    <mergeCell ref="AZ2:BB2"/>
    <mergeCell ref="BE2:BG2"/>
    <mergeCell ref="BJ2:BL2"/>
    <mergeCell ref="BO2:BQ2"/>
    <mergeCell ref="BT2:BV2"/>
    <mergeCell ref="BY2:CA2"/>
    <mergeCell ref="CD2:CF2"/>
    <mergeCell ref="CI2:CK2"/>
    <mergeCell ref="CN2:CP2"/>
    <mergeCell ref="CS2:CU2"/>
    <mergeCell ref="CX2:CZ2"/>
    <mergeCell ref="DC2:DE2"/>
    <mergeCell ref="DH2:DJ2"/>
    <mergeCell ref="DM2:DO2"/>
    <mergeCell ref="DR2:DT2"/>
    <mergeCell ref="DW2:DY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4"/>
  <sheetViews>
    <sheetView workbookViewId="0" zoomScale="100" zoomScaleNormal="100">
      <selection activeCell="A3" sqref="A3"/>
    </sheetView>
  </sheetViews>
  <sheetFormatPr defaultRowHeight="12" outlineLevelRow="0" outlineLevelCol="0" x14ac:dyDescent="0.2" defaultColWidth="11.42578125" customHeight="1"/>
  <cols>
    <col min="1" max="1" width="26.42578125" style="1" customWidth="1"/>
    <col min="2" max="16384" width="11.42578125" style="1" customWidth="1"/>
  </cols>
  <sheetData>
    <row r="2" spans="1:6" x14ac:dyDescent="0.25">
      <c r="A2" s="4" t="s">
        <v>941</v>
      </c>
      <c r="B2" s="4"/>
      <c r="C2" s="4"/>
      <c r="D2" s="4"/>
      <c r="E2" s="4"/>
      <c r="F2" s="4"/>
    </row>
    <row r="3" spans="1:10" x14ac:dyDescent="0.25">
      <c r="A3" s="1" t="s">
        <v>942</v>
      </c>
      <c r="B3" s="332">
        <f>(logs!AB67+logs!AB66)/1000</f>
        <v>260.42955</v>
      </c>
      <c r="C3" s="332">
        <f>porcionados!AB297/1000</f>
        <v>248.30873999999994</v>
      </c>
      <c r="I3" s="332"/>
      <c r="J3" s="332"/>
    </row>
    <row r="4" spans="2:10" x14ac:dyDescent="0.25">
      <c r="B4" s="4" t="s">
        <v>943</v>
      </c>
      <c r="C4" s="4" t="s">
        <v>944</v>
      </c>
      <c r="D4" s="79" t="s">
        <v>276</v>
      </c>
      <c r="I4" s="4"/>
      <c r="J4" s="4"/>
    </row>
    <row r="5" spans="1:10" x14ac:dyDescent="0.25">
      <c r="A5" s="164" t="s">
        <v>945</v>
      </c>
      <c r="B5" s="273" t="s">
        <v>9</v>
      </c>
      <c r="C5" s="273" t="s">
        <v>9</v>
      </c>
      <c r="D5" s="273" t="s">
        <v>9</v>
      </c>
      <c r="I5" s="273"/>
      <c r="J5" s="273"/>
    </row>
    <row r="6" spans="1:10" x14ac:dyDescent="0.25">
      <c r="A6" s="1" t="s">
        <v>946</v>
      </c>
      <c r="B6" s="195">
        <f>logs!AD68</f>
        <v>1859590.93696</v>
      </c>
      <c r="C6" s="195">
        <f>porcionados!AD297</f>
        <v>1934154.6292466687</v>
      </c>
      <c r="D6" s="195">
        <f>+B6+C6</f>
        <v>3793745.5662066685</v>
      </c>
      <c r="I6" s="195"/>
      <c r="J6" s="195"/>
    </row>
    <row r="7" spans="1:10" x14ac:dyDescent="0.25">
      <c r="A7" s="1" t="s">
        <v>947</v>
      </c>
      <c r="B7" s="195">
        <f>+logs!AE68</f>
        <v>55304.949508800004</v>
      </c>
      <c r="C7" s="195">
        <f>porcionados!AF297</f>
        <v>31269.6019470648</v>
      </c>
      <c r="D7" s="195">
        <f>+B7+C7</f>
        <v>86574.5514558648</v>
      </c>
      <c r="I7" s="195"/>
      <c r="J7" s="195"/>
    </row>
    <row r="8" spans="1:10" x14ac:dyDescent="0.25">
      <c r="A8" s="1" t="s">
        <v>948</v>
      </c>
      <c r="B8" s="86">
        <f>logs!AF68</f>
        <v>-27652.474754400002</v>
      </c>
      <c r="C8" s="86">
        <f>porcionados!AG297</f>
        <v>-15634.8009735324</v>
      </c>
      <c r="D8" s="86">
        <f>+B8+C8</f>
        <v>-43287.2757279324</v>
      </c>
      <c r="I8" s="86"/>
      <c r="J8" s="86"/>
    </row>
    <row r="9" spans="1:10" x14ac:dyDescent="0.25">
      <c r="A9" s="164" t="s">
        <v>949</v>
      </c>
      <c r="B9" s="333">
        <f>SUM(B6:B8)</f>
        <v>1887243.4117144</v>
      </c>
      <c r="C9" s="333">
        <f>SUM(C6:C8)</f>
        <v>1949789.430220201</v>
      </c>
      <c r="D9" s="333">
        <f>SUM(D6:D8)</f>
        <v>3837032.841934601</v>
      </c>
      <c r="I9" s="333"/>
      <c r="J9" s="333"/>
    </row>
    <row r="11" spans="1:10" x14ac:dyDescent="0.25">
      <c r="A11" s="164" t="s">
        <v>950</v>
      </c>
      <c r="B11" s="273" t="s">
        <v>9</v>
      </c>
      <c r="C11" s="273" t="s">
        <v>9</v>
      </c>
      <c r="D11" s="273" t="s">
        <v>9</v>
      </c>
      <c r="I11" s="273"/>
      <c r="J11" s="273"/>
    </row>
    <row r="12" spans="1:10" x14ac:dyDescent="0.25">
      <c r="A12" s="1" t="s">
        <v>951</v>
      </c>
      <c r="B12" s="86">
        <f>-logs!AD59</f>
        <v>-1172456.3042657583</v>
      </c>
      <c r="C12" s="86">
        <f>porcionados!AD131</f>
        <v>-1495389.0503124483</v>
      </c>
      <c r="D12" s="86">
        <f>+B12+C12</f>
        <v>-2667845.3545782063</v>
      </c>
      <c r="I12" s="86"/>
      <c r="J12" s="86"/>
    </row>
    <row r="13" spans="1:10" x14ac:dyDescent="0.25">
      <c r="A13" s="1" t="s">
        <v>277</v>
      </c>
      <c r="B13" s="86">
        <f>-logs!AD77</f>
        <v>-62232.42247282609</v>
      </c>
      <c r="C13" s="86">
        <f>porcionados!AD308</f>
        <v>-164586.30193233202</v>
      </c>
      <c r="D13" s="86">
        <f>+B13+C13</f>
        <v>-226818.7244051581</v>
      </c>
      <c r="I13" s="86"/>
      <c r="J13" s="86"/>
    </row>
    <row r="14" spans="1:10" x14ac:dyDescent="0.25">
      <c r="A14" s="1" t="s">
        <v>282</v>
      </c>
      <c r="B14" s="86">
        <f>-envases!EG18*(logs!AB67/1000)</f>
        <v>-13718.182895489688</v>
      </c>
      <c r="C14" s="86">
        <f>porcionados!AE297</f>
        <v>-46947.211045450545</v>
      </c>
      <c r="D14" s="86">
        <f>+B14+C14</f>
        <v>-60665.39394094024</v>
      </c>
      <c r="I14" s="86"/>
      <c r="J14" s="86"/>
    </row>
    <row r="15" spans="1:10" x14ac:dyDescent="0.25">
      <c r="A15" s="1" t="s">
        <v>952</v>
      </c>
      <c r="B15" s="86">
        <f>-envases!EJ30*(logs!AB82+logs!AB80)</f>
        <v>-32692.731037186513</v>
      </c>
      <c r="C15" s="86"/>
      <c r="D15" s="86">
        <f>+B15+C15</f>
        <v>-32692.731037186513</v>
      </c>
      <c r="I15" s="86"/>
      <c r="J15" s="86"/>
    </row>
    <row r="16" spans="1:10" x14ac:dyDescent="0.25">
      <c r="A16" s="1" t="s">
        <v>283</v>
      </c>
      <c r="B16" s="86">
        <f>-0.1*logs!AB67</f>
        <v>-22789.868000000002</v>
      </c>
      <c r="C16" s="86">
        <f>porcionados!AD307</f>
        <v>-24830.873999999996</v>
      </c>
      <c r="D16" s="86">
        <f>+B16+C16</f>
        <v>-47620.742</v>
      </c>
      <c r="I16" s="86"/>
      <c r="J16" s="86"/>
    </row>
    <row r="17" spans="1:10" x14ac:dyDescent="0.25">
      <c r="A17" s="1" t="s">
        <v>5</v>
      </c>
      <c r="B17" s="86">
        <f>SUM(B12:B16)</f>
        <v>-1303889.5086712604</v>
      </c>
      <c r="C17" s="86">
        <f>SUM(C12:C16)</f>
        <v>-1731753.437290231</v>
      </c>
      <c r="D17" s="86">
        <f>SUM(D12:D16)</f>
        <v>-3035642.945961491</v>
      </c>
      <c r="I17" s="86"/>
      <c r="J17" s="86"/>
    </row>
    <row r="18" spans="1:10" x14ac:dyDescent="0.25">
      <c r="A18" s="1" t="s">
        <v>953</v>
      </c>
      <c r="B18" s="195">
        <f>+B9+B17</f>
        <v>583353.9030431395</v>
      </c>
      <c r="C18" s="195">
        <f>+C9+C17</f>
        <v>218035.9929299699</v>
      </c>
      <c r="D18" s="195">
        <f>+D9+D17</f>
        <v>801389.8959731096</v>
      </c>
      <c r="I18" s="195"/>
      <c r="J18" s="195"/>
    </row>
    <row r="19" spans="1:10" x14ac:dyDescent="0.25">
      <c r="A19" s="1" t="s">
        <v>954</v>
      </c>
      <c r="B19" s="86">
        <f>-0.178*logs!AB67</f>
        <v>-40565.96504</v>
      </c>
      <c r="C19" s="86">
        <f>porcionados!AD309</f>
        <v>-44198.95571999998</v>
      </c>
      <c r="D19" s="86">
        <f>+B19+C19</f>
        <v>-84764.92075999998</v>
      </c>
      <c r="I19" s="86"/>
      <c r="J19" s="86"/>
    </row>
    <row r="20" spans="1:10" x14ac:dyDescent="0.25">
      <c r="A20" s="164" t="s">
        <v>955</v>
      </c>
      <c r="B20" s="333">
        <f>+B18+B19</f>
        <v>542787.9380031395</v>
      </c>
      <c r="C20" s="333">
        <f>+C18+C19</f>
        <v>173837.03720996995</v>
      </c>
      <c r="D20" s="334">
        <f>+D18+D19</f>
        <v>716624.9752131096</v>
      </c>
      <c r="I20" s="333"/>
      <c r="J20" s="333"/>
    </row>
    <row r="22" spans="1:1" x14ac:dyDescent="0.25">
      <c r="A22" s="1" t="s">
        <v>956</v>
      </c>
    </row>
    <row r="23" spans="1:1" x14ac:dyDescent="0.25">
      <c r="A23" s="1" t="s">
        <v>957</v>
      </c>
    </row>
    <row r="24" spans="1:1" x14ac:dyDescent="0.25">
      <c r="A24" s="1" t="s">
        <v>958</v>
      </c>
    </row>
    <row r="25" spans="1:1" x14ac:dyDescent="0.25">
      <c r="A25" s="1" t="s">
        <v>959</v>
      </c>
    </row>
    <row r="28" spans="2:4" x14ac:dyDescent="0.25">
      <c r="B28" s="4" t="s">
        <v>943</v>
      </c>
      <c r="C28" s="4" t="s">
        <v>960</v>
      </c>
      <c r="D28" s="4"/>
    </row>
    <row r="29" spans="1:4" x14ac:dyDescent="0.25">
      <c r="A29" s="164" t="s">
        <v>945</v>
      </c>
      <c r="B29" s="273" t="s">
        <v>961</v>
      </c>
      <c r="C29" s="273" t="s">
        <v>961</v>
      </c>
      <c r="D29" s="273"/>
    </row>
    <row r="30" spans="1:4" x14ac:dyDescent="0.25">
      <c r="A30" s="1" t="s">
        <v>946</v>
      </c>
      <c r="B30" s="195">
        <f>B6/$B$3</f>
        <v>7140.475944300484</v>
      </c>
      <c r="C30" s="195">
        <f>C6/C3</f>
        <v>7789.313534620928</v>
      </c>
      <c r="D30" s="195"/>
    </row>
    <row r="31" spans="1:4" x14ac:dyDescent="0.25">
      <c r="A31" s="1" t="s">
        <v>947</v>
      </c>
      <c r="B31" s="195">
        <f>B7/$B$3</f>
        <v>212.36050021512537</v>
      </c>
      <c r="C31" s="195">
        <f>C7/C3</f>
        <v>125.93033151819306</v>
      </c>
      <c r="D31" s="195"/>
    </row>
    <row r="32" spans="1:4" x14ac:dyDescent="0.25">
      <c r="A32" s="1" t="s">
        <v>948</v>
      </c>
      <c r="B32" s="86">
        <f>B8/$B$3</f>
        <v>-106.18025010756269</v>
      </c>
      <c r="C32" s="86">
        <f>C8/C3</f>
        <v>-62.96516575909653</v>
      </c>
      <c r="D32" s="86"/>
    </row>
    <row r="33" spans="1:4" x14ac:dyDescent="0.25">
      <c r="A33" s="164" t="s">
        <v>949</v>
      </c>
      <c r="B33" s="333">
        <f>SUM(B30:B32)</f>
        <v>7246.656194408047</v>
      </c>
      <c r="C33" s="333">
        <f>SUM(C30:C32)</f>
        <v>7852.278700380025</v>
      </c>
      <c r="D33" s="333"/>
    </row>
    <row r="35" spans="1:4" x14ac:dyDescent="0.25">
      <c r="A35" s="164" t="s">
        <v>950</v>
      </c>
      <c r="B35" s="273" t="s">
        <v>961</v>
      </c>
      <c r="C35" s="273" t="s">
        <v>961</v>
      </c>
      <c r="D35" s="273"/>
    </row>
    <row r="36" spans="1:4" x14ac:dyDescent="0.25">
      <c r="A36" s="1" t="s">
        <v>951</v>
      </c>
      <c r="B36" s="86">
        <f>B12/$B$3</f>
        <v>-4502.009484967271</v>
      </c>
      <c r="C36" s="86">
        <f>C12/C3</f>
        <v>-6022.297283262959</v>
      </c>
      <c r="D36" s="86"/>
    </row>
    <row r="37" spans="1:4" x14ac:dyDescent="0.25">
      <c r="A37" s="1" t="s">
        <v>277</v>
      </c>
      <c r="B37" s="86">
        <f>B13/$B$3</f>
        <v>-238.9606804328698</v>
      </c>
      <c r="C37" s="86">
        <f>C13/C3</f>
        <v>-662.8292742830239</v>
      </c>
      <c r="D37" s="86"/>
    </row>
    <row r="38" spans="1:4" x14ac:dyDescent="0.25">
      <c r="A38" s="1" t="s">
        <v>282</v>
      </c>
      <c r="B38" s="86">
        <f>B14/$B$3</f>
        <v>-52.67521637037613</v>
      </c>
      <c r="C38" s="86">
        <f>C14/C3</f>
        <v>-189.06789606137326</v>
      </c>
      <c r="D38" s="86"/>
    </row>
    <row r="39" spans="1:4" x14ac:dyDescent="0.25">
      <c r="A39" s="1" t="s">
        <v>952</v>
      </c>
      <c r="B39" s="86">
        <f>B15/$B$3</f>
        <v>-125.5338767708446</v>
      </c>
      <c r="C39" s="86"/>
      <c r="D39" s="86"/>
    </row>
    <row r="40" spans="1:4" x14ac:dyDescent="0.25">
      <c r="A40" s="1" t="s">
        <v>283</v>
      </c>
      <c r="B40" s="86">
        <f>B16/$B$3</f>
        <v>-87.50876388643302</v>
      </c>
      <c r="C40" s="86">
        <f>C16/C3</f>
        <v>-100.00000000000001</v>
      </c>
      <c r="D40" s="86"/>
    </row>
    <row r="41" spans="1:4" x14ac:dyDescent="0.25">
      <c r="A41" s="164" t="s">
        <v>5</v>
      </c>
      <c r="B41" s="334">
        <f>SUM(B36:B40)</f>
        <v>-5006.688022427795</v>
      </c>
      <c r="C41" s="334">
        <f>SUM(C36:C40)</f>
        <v>-6974.194453607356</v>
      </c>
      <c r="D41" s="334"/>
    </row>
    <row r="42" spans="1:4" x14ac:dyDescent="0.25">
      <c r="A42" s="1" t="s">
        <v>953</v>
      </c>
      <c r="B42" s="195">
        <f>+B33+B41</f>
        <v>2239.968171980252</v>
      </c>
      <c r="C42" s="195">
        <f>C18/C3</f>
        <v>878.0842467726668</v>
      </c>
      <c r="D42" s="195"/>
    </row>
    <row r="43" spans="1:4" x14ac:dyDescent="0.25">
      <c r="A43" s="1" t="s">
        <v>954</v>
      </c>
      <c r="B43" s="86">
        <f>B19/$B$3</f>
        <v>-155.76559971785076</v>
      </c>
      <c r="C43" s="86">
        <f>C19/C3</f>
        <v>-177.99999999999997</v>
      </c>
      <c r="D43" s="86"/>
    </row>
    <row r="44" spans="1:4" x14ac:dyDescent="0.25">
      <c r="A44" s="164" t="s">
        <v>955</v>
      </c>
      <c r="B44" s="333">
        <f>+B42+B43</f>
        <v>2084.202572262401</v>
      </c>
      <c r="C44" s="333">
        <f>+C42+C43</f>
        <v>700.0842467726668</v>
      </c>
      <c r="D44" s="333"/>
    </row>
  </sheetData>
  <mergeCells count="1">
    <mergeCell ref="A2:F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8"/>
  <sheetViews>
    <sheetView workbookViewId="0" zoomScale="100" zoomScaleNormal="100">
      <selection activeCell="B55" sqref="B55"/>
    </sheetView>
  </sheetViews>
  <sheetFormatPr defaultRowHeight="12" outlineLevelRow="0" outlineLevelCol="0" x14ac:dyDescent="0.2" defaultColWidth="11.42578125" customHeight="1"/>
  <cols>
    <col min="1" max="1" width="16.7109375" style="2" customWidth="1"/>
    <col min="2" max="2" width="80.140625" style="1" customWidth="1"/>
    <col min="3" max="3" width="7.5703125" style="195" customWidth="1"/>
    <col min="4" max="5" width="8.42578125" style="2" customWidth="1"/>
    <col min="6" max="6" width="17.140625" style="195" customWidth="1"/>
    <col min="7" max="7" width="16.5703125" style="1" customWidth="1"/>
    <col min="8" max="16384" width="11.42578125" style="1" customWidth="1"/>
  </cols>
  <sheetData>
    <row r="2" spans="1:6" x14ac:dyDescent="0.25">
      <c r="A2" s="335" t="s">
        <v>962</v>
      </c>
      <c r="B2" s="335"/>
      <c r="C2" s="335"/>
      <c r="D2" s="335"/>
      <c r="E2" s="335"/>
      <c r="F2" s="335"/>
    </row>
    <row r="4" spans="1:2" x14ac:dyDescent="0.25">
      <c r="A4" s="335" t="s">
        <v>963</v>
      </c>
      <c r="B4" s="1" t="s">
        <v>964</v>
      </c>
    </row>
    <row r="5" spans="1:2" x14ac:dyDescent="0.25">
      <c r="A5" s="335" t="s">
        <v>965</v>
      </c>
      <c r="B5" s="1" t="s">
        <v>966</v>
      </c>
    </row>
    <row r="6" spans="1:2" x14ac:dyDescent="0.25">
      <c r="A6" s="335" t="s">
        <v>967</v>
      </c>
      <c r="B6" s="1" t="s">
        <v>968</v>
      </c>
    </row>
    <row r="7" spans="1:1" x14ac:dyDescent="0.25">
      <c r="A7" s="335" t="s">
        <v>969</v>
      </c>
    </row>
    <row r="9" spans="1:6" x14ac:dyDescent="0.25">
      <c r="A9" s="336" t="s">
        <v>970</v>
      </c>
      <c r="B9" s="337" t="s">
        <v>291</v>
      </c>
      <c r="C9" s="338" t="s">
        <v>494</v>
      </c>
      <c r="D9" s="336" t="s">
        <v>971</v>
      </c>
      <c r="E9" s="336" t="s">
        <v>972</v>
      </c>
      <c r="F9" s="338" t="s">
        <v>973</v>
      </c>
    </row>
    <row r="10" spans="1:6" x14ac:dyDescent="0.25">
      <c r="A10" s="2" t="s">
        <v>974</v>
      </c>
      <c r="B10" s="1" t="s">
        <v>975</v>
      </c>
      <c r="C10" s="339">
        <v>700</v>
      </c>
      <c r="D10" s="2" t="s">
        <v>976</v>
      </c>
      <c r="E10" s="2" t="s">
        <v>977</v>
      </c>
      <c r="F10" s="339">
        <v>770</v>
      </c>
    </row>
    <row r="11" spans="1:6" x14ac:dyDescent="0.25">
      <c r="A11" s="2" t="s">
        <v>978</v>
      </c>
      <c r="B11" s="1" t="s">
        <v>979</v>
      </c>
      <c r="C11" s="339">
        <v>2400</v>
      </c>
      <c r="D11" s="2" t="s">
        <v>980</v>
      </c>
      <c r="E11" s="2" t="s">
        <v>977</v>
      </c>
      <c r="F11" s="339">
        <v>7200</v>
      </c>
    </row>
    <row r="12" spans="1:6" x14ac:dyDescent="0.25">
      <c r="A12" s="2" t="s">
        <v>981</v>
      </c>
      <c r="B12" s="1" t="s">
        <v>982</v>
      </c>
      <c r="C12" s="339">
        <v>165</v>
      </c>
      <c r="D12" s="2" t="s">
        <v>980</v>
      </c>
      <c r="E12" s="2" t="s">
        <v>977</v>
      </c>
      <c r="F12" s="339">
        <v>1138.5</v>
      </c>
    </row>
    <row r="13" spans="1:6" x14ac:dyDescent="0.25">
      <c r="A13" s="2" t="s">
        <v>983</v>
      </c>
      <c r="B13" s="1" t="s">
        <v>984</v>
      </c>
      <c r="C13" s="339">
        <v>755</v>
      </c>
      <c r="D13" s="2" t="s">
        <v>980</v>
      </c>
      <c r="E13" s="2" t="s">
        <v>977</v>
      </c>
      <c r="F13" s="339">
        <v>4756.5</v>
      </c>
    </row>
    <row r="14" spans="1:6" x14ac:dyDescent="0.25">
      <c r="A14" s="2" t="s">
        <v>985</v>
      </c>
      <c r="B14" s="1" t="s">
        <v>986</v>
      </c>
      <c r="C14" s="339">
        <v>700</v>
      </c>
      <c r="D14" s="2" t="s">
        <v>987</v>
      </c>
      <c r="E14" s="2" t="s">
        <v>977</v>
      </c>
      <c r="F14" s="339">
        <v>644</v>
      </c>
    </row>
    <row r="15" spans="1:6" x14ac:dyDescent="0.25">
      <c r="A15" s="2" t="s">
        <v>988</v>
      </c>
      <c r="B15" s="1" t="s">
        <v>989</v>
      </c>
      <c r="C15" s="339">
        <v>30</v>
      </c>
      <c r="D15" s="2" t="s">
        <v>987</v>
      </c>
      <c r="E15" s="2" t="s">
        <v>990</v>
      </c>
      <c r="F15" s="339">
        <v>3660</v>
      </c>
    </row>
    <row r="16" spans="1:6" x14ac:dyDescent="0.25">
      <c r="A16" s="2" t="s">
        <v>991</v>
      </c>
      <c r="B16" s="1" t="s">
        <v>992</v>
      </c>
      <c r="C16" s="339">
        <v>200</v>
      </c>
      <c r="D16" s="2" t="s">
        <v>980</v>
      </c>
      <c r="E16" s="2" t="s">
        <v>990</v>
      </c>
      <c r="F16" s="339">
        <v>50000</v>
      </c>
    </row>
    <row r="17" spans="1:6" x14ac:dyDescent="0.25">
      <c r="A17" s="2" t="s">
        <v>993</v>
      </c>
      <c r="B17" s="1" t="s">
        <v>994</v>
      </c>
      <c r="C17" s="339">
        <v>220</v>
      </c>
      <c r="D17" s="2" t="s">
        <v>987</v>
      </c>
      <c r="E17" s="2" t="s">
        <v>990</v>
      </c>
      <c r="F17" s="339">
        <v>54120</v>
      </c>
    </row>
    <row r="18" spans="1:6" x14ac:dyDescent="0.25">
      <c r="A18" s="2" t="s">
        <v>995</v>
      </c>
      <c r="B18" s="1" t="s">
        <v>996</v>
      </c>
      <c r="C18" s="339">
        <v>70</v>
      </c>
      <c r="D18" s="2" t="s">
        <v>980</v>
      </c>
      <c r="E18" s="2" t="s">
        <v>990</v>
      </c>
      <c r="F18" s="339">
        <v>47390</v>
      </c>
    </row>
    <row r="19" spans="1:6" x14ac:dyDescent="0.25">
      <c r="A19" s="2" t="s">
        <v>997</v>
      </c>
      <c r="B19" s="1" t="s">
        <v>998</v>
      </c>
      <c r="C19" s="339">
        <v>80</v>
      </c>
      <c r="D19" s="2" t="s">
        <v>987</v>
      </c>
      <c r="E19" s="2" t="s">
        <v>990</v>
      </c>
      <c r="F19" s="339">
        <v>19920</v>
      </c>
    </row>
    <row r="20" spans="1:6" x14ac:dyDescent="0.25">
      <c r="A20" s="2" t="s">
        <v>999</v>
      </c>
      <c r="B20" s="1" t="s">
        <v>1000</v>
      </c>
      <c r="C20" s="339">
        <v>120</v>
      </c>
      <c r="D20" s="2" t="s">
        <v>987</v>
      </c>
      <c r="E20" s="2" t="s">
        <v>990</v>
      </c>
      <c r="F20" s="339">
        <v>29760</v>
      </c>
    </row>
    <row r="21" spans="1:6" x14ac:dyDescent="0.25">
      <c r="A21" s="2" t="s">
        <v>1001</v>
      </c>
      <c r="B21" s="1" t="s">
        <v>1002</v>
      </c>
      <c r="C21" s="339">
        <v>80</v>
      </c>
      <c r="D21" s="2" t="s">
        <v>976</v>
      </c>
      <c r="E21" s="2" t="s">
        <v>990</v>
      </c>
      <c r="F21" s="339">
        <v>21680</v>
      </c>
    </row>
    <row r="22" spans="1:6" x14ac:dyDescent="0.25">
      <c r="A22" s="2" t="s">
        <v>1003</v>
      </c>
      <c r="B22" s="1" t="s">
        <v>1004</v>
      </c>
      <c r="C22" s="339">
        <v>50900</v>
      </c>
      <c r="D22" s="2" t="s">
        <v>976</v>
      </c>
      <c r="E22" s="2" t="s">
        <v>977</v>
      </c>
      <c r="F22" s="339">
        <v>14150.2</v>
      </c>
    </row>
    <row r="23" spans="1:8" x14ac:dyDescent="0.25">
      <c r="A23" s="2" t="s">
        <v>556</v>
      </c>
      <c r="B23" s="1" t="s">
        <v>557</v>
      </c>
      <c r="C23" s="339">
        <v>14884</v>
      </c>
      <c r="D23" s="2" t="s">
        <v>976</v>
      </c>
      <c r="E23" s="2" t="s">
        <v>977</v>
      </c>
      <c r="F23" s="339">
        <v>4286.59</v>
      </c>
      <c r="H23" s="340">
        <f>F23/C23</f>
        <v>0.2879998656275195</v>
      </c>
    </row>
    <row r="24" spans="1:8" x14ac:dyDescent="0.25">
      <c r="A24" s="2" t="s">
        <v>697</v>
      </c>
      <c r="B24" s="1" t="s">
        <v>698</v>
      </c>
      <c r="C24" s="339">
        <v>1700</v>
      </c>
      <c r="D24" s="2" t="s">
        <v>976</v>
      </c>
      <c r="E24" s="2" t="s">
        <v>977</v>
      </c>
      <c r="F24" s="339">
        <v>375.7</v>
      </c>
      <c r="H24" s="1">
        <f>F24/C24</f>
        <v>0.221</v>
      </c>
    </row>
    <row r="25" spans="1:6" x14ac:dyDescent="0.25">
      <c r="A25" s="2" t="s">
        <v>1005</v>
      </c>
      <c r="B25" s="1" t="s">
        <v>1006</v>
      </c>
      <c r="C25" s="339">
        <v>20</v>
      </c>
      <c r="D25" s="2" t="s">
        <v>1007</v>
      </c>
      <c r="E25" s="2" t="s">
        <v>977</v>
      </c>
      <c r="F25" s="339">
        <v>8140</v>
      </c>
    </row>
    <row r="26" spans="1:6" x14ac:dyDescent="0.25">
      <c r="A26" s="2" t="s">
        <v>1008</v>
      </c>
      <c r="B26" s="1" t="s">
        <v>1009</v>
      </c>
      <c r="C26" s="339">
        <v>1225</v>
      </c>
      <c r="D26" s="2" t="s">
        <v>980</v>
      </c>
      <c r="E26" s="2" t="s">
        <v>977</v>
      </c>
      <c r="F26" s="339">
        <v>3675</v>
      </c>
    </row>
    <row r="27" spans="1:6" x14ac:dyDescent="0.25">
      <c r="A27" s="2" t="s">
        <v>1010</v>
      </c>
      <c r="B27" s="1" t="s">
        <v>1011</v>
      </c>
      <c r="C27" s="339">
        <v>1900</v>
      </c>
      <c r="D27" s="2" t="s">
        <v>980</v>
      </c>
      <c r="E27" s="2" t="s">
        <v>977</v>
      </c>
      <c r="F27" s="339">
        <v>4626.85</v>
      </c>
    </row>
    <row r="28" spans="1:9" x14ac:dyDescent="0.25">
      <c r="A28" s="2" t="s">
        <v>1012</v>
      </c>
      <c r="B28" s="1" t="s">
        <v>1013</v>
      </c>
      <c r="C28" s="339">
        <v>238</v>
      </c>
      <c r="D28" s="2" t="s">
        <v>980</v>
      </c>
      <c r="E28" s="2" t="s">
        <v>977</v>
      </c>
      <c r="F28" s="339">
        <v>1166.2</v>
      </c>
      <c r="H28" s="1">
        <f>F28/C28</f>
        <v>4.9</v>
      </c>
      <c r="I28" s="1">
        <f>+H28/136</f>
        <v>0.036029411764705886</v>
      </c>
    </row>
    <row r="29" spans="1:6" x14ac:dyDescent="0.25">
      <c r="A29" s="2" t="s">
        <v>1014</v>
      </c>
      <c r="B29" s="1" t="s">
        <v>1015</v>
      </c>
      <c r="C29" s="339">
        <v>1340.4</v>
      </c>
      <c r="D29" s="2" t="s">
        <v>980</v>
      </c>
      <c r="E29" s="2" t="s">
        <v>977</v>
      </c>
      <c r="F29" s="339">
        <v>5227.56</v>
      </c>
    </row>
    <row r="30" spans="1:6" x14ac:dyDescent="0.25">
      <c r="A30" s="2" t="s">
        <v>1016</v>
      </c>
      <c r="B30" s="1" t="s">
        <v>1017</v>
      </c>
      <c r="C30" s="339">
        <v>2400</v>
      </c>
      <c r="D30" s="2" t="s">
        <v>976</v>
      </c>
      <c r="E30" s="2" t="s">
        <v>977</v>
      </c>
      <c r="F30" s="339">
        <v>1560</v>
      </c>
    </row>
    <row r="31" spans="1:9" x14ac:dyDescent="0.25">
      <c r="A31" s="2" t="s">
        <v>789</v>
      </c>
      <c r="B31" s="1" t="s">
        <v>790</v>
      </c>
      <c r="C31" s="339">
        <v>497</v>
      </c>
      <c r="D31" s="2" t="s">
        <v>980</v>
      </c>
      <c r="E31" s="2" t="s">
        <v>977</v>
      </c>
      <c r="F31" s="339">
        <v>1292.2</v>
      </c>
      <c r="H31" s="1">
        <f>F31/C31</f>
        <v>2.6</v>
      </c>
      <c r="I31" s="1">
        <f>H31/40</f>
        <v>0.065</v>
      </c>
    </row>
    <row r="32" spans="1:6" x14ac:dyDescent="0.25">
      <c r="A32" s="2" t="s">
        <v>1018</v>
      </c>
      <c r="B32" s="1" t="s">
        <v>1019</v>
      </c>
      <c r="C32" s="339">
        <v>423.9</v>
      </c>
      <c r="D32" s="2" t="s">
        <v>980</v>
      </c>
      <c r="E32" s="2" t="s">
        <v>977</v>
      </c>
      <c r="F32" s="339">
        <v>1271.7</v>
      </c>
    </row>
    <row r="33" spans="1:9" x14ac:dyDescent="0.25">
      <c r="A33" s="2" t="s">
        <v>533</v>
      </c>
      <c r="B33" s="1" t="s">
        <v>534</v>
      </c>
      <c r="C33" s="339">
        <v>748.1</v>
      </c>
      <c r="D33" s="2" t="s">
        <v>980</v>
      </c>
      <c r="E33" s="2" t="s">
        <v>977</v>
      </c>
      <c r="F33" s="339">
        <v>2244.28</v>
      </c>
      <c r="H33" s="1">
        <f>F33/C33</f>
        <v>2.9999732656062026</v>
      </c>
      <c r="I33" s="340">
        <f>H33/60</f>
        <v>0.049999554426770045</v>
      </c>
    </row>
    <row r="34" spans="1:6" x14ac:dyDescent="0.25">
      <c r="A34" s="2" t="s">
        <v>1020</v>
      </c>
      <c r="B34" s="1" t="s">
        <v>1021</v>
      </c>
      <c r="C34" s="339">
        <v>1369.27</v>
      </c>
      <c r="D34" s="2" t="s">
        <v>980</v>
      </c>
      <c r="E34" s="2" t="s">
        <v>977</v>
      </c>
      <c r="F34" s="339">
        <v>3152.04</v>
      </c>
    </row>
    <row r="35" spans="1:9" x14ac:dyDescent="0.25">
      <c r="A35" s="2" t="s">
        <v>1022</v>
      </c>
      <c r="B35" s="1" t="s">
        <v>1023</v>
      </c>
      <c r="C35" s="339">
        <v>4006.8</v>
      </c>
      <c r="D35" s="2" t="s">
        <v>980</v>
      </c>
      <c r="E35" s="2" t="s">
        <v>977</v>
      </c>
      <c r="F35" s="339">
        <v>12020.4</v>
      </c>
      <c r="H35" s="1">
        <f>+F35/C35</f>
        <v>2.9999999999999996</v>
      </c>
      <c r="I35" s="340">
        <f>+H35/136</f>
        <v>0.022058823529411763</v>
      </c>
    </row>
    <row r="36" spans="1:6" x14ac:dyDescent="0.25">
      <c r="A36" s="2" t="s">
        <v>1024</v>
      </c>
      <c r="B36" s="1" t="s">
        <v>1025</v>
      </c>
      <c r="C36" s="339">
        <v>313</v>
      </c>
      <c r="D36" s="2" t="s">
        <v>980</v>
      </c>
      <c r="E36" s="2" t="s">
        <v>977</v>
      </c>
      <c r="F36" s="339">
        <v>782.5</v>
      </c>
    </row>
    <row r="37" spans="1:6" x14ac:dyDescent="0.25">
      <c r="A37" s="2" t="s">
        <v>1026</v>
      </c>
      <c r="B37" s="1" t="s">
        <v>1027</v>
      </c>
      <c r="C37" s="339">
        <v>779</v>
      </c>
      <c r="D37" s="2" t="s">
        <v>980</v>
      </c>
      <c r="E37" s="2" t="s">
        <v>977</v>
      </c>
      <c r="F37" s="339">
        <v>3603.1</v>
      </c>
    </row>
    <row r="38" spans="1:6" x14ac:dyDescent="0.25">
      <c r="A38" s="2" t="s">
        <v>1028</v>
      </c>
      <c r="B38" s="1" t="s">
        <v>1029</v>
      </c>
      <c r="C38" s="339">
        <v>15.95</v>
      </c>
      <c r="D38" s="2" t="s">
        <v>980</v>
      </c>
      <c r="E38" s="2" t="s">
        <v>977</v>
      </c>
      <c r="F38" s="339">
        <v>42.9</v>
      </c>
    </row>
    <row r="39" spans="1:6" x14ac:dyDescent="0.25">
      <c r="A39" s="2" t="s">
        <v>1030</v>
      </c>
      <c r="B39" s="1" t="s">
        <v>1031</v>
      </c>
      <c r="C39" s="339">
        <v>543.78</v>
      </c>
      <c r="D39" s="2" t="s">
        <v>980</v>
      </c>
      <c r="E39" s="2" t="s">
        <v>977</v>
      </c>
      <c r="F39" s="339">
        <v>1362.93</v>
      </c>
    </row>
    <row r="40" spans="1:6" x14ac:dyDescent="0.25">
      <c r="A40" s="2" t="s">
        <v>1032</v>
      </c>
      <c r="B40" s="1" t="s">
        <v>1033</v>
      </c>
      <c r="C40" s="339">
        <v>188</v>
      </c>
      <c r="D40" s="2" t="s">
        <v>980</v>
      </c>
      <c r="E40" s="2" t="s">
        <v>977</v>
      </c>
      <c r="F40" s="339">
        <v>436.16</v>
      </c>
    </row>
    <row r="41" spans="1:6" x14ac:dyDescent="0.25">
      <c r="A41" s="2" t="s">
        <v>1034</v>
      </c>
      <c r="B41" s="1" t="s">
        <v>1035</v>
      </c>
      <c r="C41" s="339">
        <v>410</v>
      </c>
      <c r="D41" s="2" t="s">
        <v>980</v>
      </c>
      <c r="E41" s="2" t="s">
        <v>990</v>
      </c>
      <c r="F41" s="339">
        <v>48057.33</v>
      </c>
    </row>
    <row r="42" spans="1:6" x14ac:dyDescent="0.25">
      <c r="A42" s="2" t="s">
        <v>1036</v>
      </c>
      <c r="B42" s="1" t="s">
        <v>1037</v>
      </c>
      <c r="C42" s="339">
        <v>1080.4</v>
      </c>
      <c r="D42" s="2" t="s">
        <v>980</v>
      </c>
      <c r="E42" s="2" t="s">
        <v>977</v>
      </c>
      <c r="F42" s="339">
        <v>2389.14</v>
      </c>
    </row>
    <row r="43" spans="1:8" x14ac:dyDescent="0.25">
      <c r="A43" s="2" t="s">
        <v>1038</v>
      </c>
      <c r="B43" s="1" t="s">
        <v>1039</v>
      </c>
      <c r="C43" s="339">
        <v>1673</v>
      </c>
      <c r="D43" s="2" t="s">
        <v>980</v>
      </c>
      <c r="E43" s="2" t="s">
        <v>977</v>
      </c>
      <c r="F43" s="339">
        <v>5019</v>
      </c>
      <c r="G43" s="94">
        <f>+F43/C43</f>
        <v>3</v>
      </c>
      <c r="H43" s="340">
        <f>G43/136</f>
        <v>0.022058823529411766</v>
      </c>
    </row>
    <row r="44" spans="1:8" x14ac:dyDescent="0.25">
      <c r="A44" s="2" t="s">
        <v>543</v>
      </c>
      <c r="B44" s="1" t="s">
        <v>544</v>
      </c>
      <c r="C44" s="339">
        <v>1912.2</v>
      </c>
      <c r="D44" s="2" t="s">
        <v>980</v>
      </c>
      <c r="E44" s="2" t="s">
        <v>977</v>
      </c>
      <c r="F44" s="339">
        <v>6653.56</v>
      </c>
      <c r="H44" s="341">
        <v>0.028</v>
      </c>
    </row>
    <row r="45" spans="1:8" x14ac:dyDescent="0.25">
      <c r="A45" s="2" t="s">
        <v>539</v>
      </c>
      <c r="B45" s="1" t="s">
        <v>540</v>
      </c>
      <c r="C45" s="339">
        <v>673</v>
      </c>
      <c r="D45" s="2" t="s">
        <v>980</v>
      </c>
      <c r="E45" s="2" t="s">
        <v>977</v>
      </c>
      <c r="F45" s="339">
        <v>2557.4</v>
      </c>
      <c r="H45" s="341">
        <v>0.028</v>
      </c>
    </row>
    <row r="46" spans="1:6" x14ac:dyDescent="0.25">
      <c r="A46" s="2" t="s">
        <v>1040</v>
      </c>
      <c r="B46" s="1" t="s">
        <v>1041</v>
      </c>
      <c r="C46" s="339">
        <v>306.8</v>
      </c>
      <c r="D46" s="2" t="s">
        <v>980</v>
      </c>
      <c r="E46" s="2" t="s">
        <v>977</v>
      </c>
      <c r="F46" s="339">
        <v>920.4</v>
      </c>
    </row>
    <row r="47" spans="1:6" x14ac:dyDescent="0.25">
      <c r="A47" s="2" t="s">
        <v>1042</v>
      </c>
      <c r="B47" s="1" t="s">
        <v>1043</v>
      </c>
      <c r="C47" s="339">
        <v>809.65</v>
      </c>
      <c r="D47" s="2" t="s">
        <v>980</v>
      </c>
      <c r="E47" s="2" t="s">
        <v>977</v>
      </c>
      <c r="F47" s="339">
        <v>2018.28</v>
      </c>
    </row>
    <row r="48" spans="1:6" x14ac:dyDescent="0.25">
      <c r="A48" s="2" t="s">
        <v>1044</v>
      </c>
      <c r="B48" s="1" t="s">
        <v>1045</v>
      </c>
      <c r="C48" s="339">
        <v>776.6</v>
      </c>
      <c r="D48" s="2" t="s">
        <v>980</v>
      </c>
      <c r="E48" s="2" t="s">
        <v>977</v>
      </c>
      <c r="F48" s="339">
        <v>1960.76</v>
      </c>
    </row>
    <row r="49" spans="1:6" x14ac:dyDescent="0.25">
      <c r="A49" s="2" t="s">
        <v>1046</v>
      </c>
      <c r="B49" s="1" t="s">
        <v>1047</v>
      </c>
      <c r="C49" s="339">
        <v>747</v>
      </c>
      <c r="D49" s="2" t="s">
        <v>980</v>
      </c>
      <c r="E49" s="2" t="s">
        <v>977</v>
      </c>
      <c r="F49" s="339">
        <v>1860.03</v>
      </c>
    </row>
    <row r="50" spans="1:8" x14ac:dyDescent="0.25">
      <c r="A50" s="2" t="s">
        <v>541</v>
      </c>
      <c r="B50" s="1" t="s">
        <v>542</v>
      </c>
      <c r="C50" s="339">
        <v>676</v>
      </c>
      <c r="D50" s="2" t="s">
        <v>980</v>
      </c>
      <c r="E50" s="2" t="s">
        <v>977</v>
      </c>
      <c r="F50" s="339">
        <v>2568.8</v>
      </c>
      <c r="G50" s="1">
        <f>F50/C50</f>
        <v>3.8000000000000003</v>
      </c>
      <c r="H50" s="340">
        <f>G50/136</f>
        <v>0.027941176470588237</v>
      </c>
    </row>
    <row r="51" spans="1:6" x14ac:dyDescent="0.25">
      <c r="A51" s="2" t="s">
        <v>1048</v>
      </c>
      <c r="B51" s="1" t="s">
        <v>1049</v>
      </c>
      <c r="C51" s="339">
        <v>494.1</v>
      </c>
      <c r="D51" s="2" t="s">
        <v>980</v>
      </c>
      <c r="E51" s="2" t="s">
        <v>977</v>
      </c>
      <c r="F51" s="339">
        <v>1877.58</v>
      </c>
    </row>
    <row r="52" spans="1:6" x14ac:dyDescent="0.25">
      <c r="A52" s="2" t="s">
        <v>1050</v>
      </c>
      <c r="B52" s="1" t="s">
        <v>1051</v>
      </c>
      <c r="C52" s="339">
        <v>331.9</v>
      </c>
      <c r="D52" s="2" t="s">
        <v>976</v>
      </c>
      <c r="E52" s="2" t="s">
        <v>990</v>
      </c>
      <c r="F52" s="339">
        <v>23677.41</v>
      </c>
    </row>
    <row r="53" spans="1:8" x14ac:dyDescent="0.25">
      <c r="A53" s="2" t="s">
        <v>596</v>
      </c>
      <c r="B53" s="1" t="s">
        <v>742</v>
      </c>
      <c r="C53" s="339">
        <v>105900</v>
      </c>
      <c r="D53" s="2" t="s">
        <v>976</v>
      </c>
      <c r="E53" s="2" t="s">
        <v>977</v>
      </c>
      <c r="F53" s="339">
        <v>16520.4</v>
      </c>
      <c r="H53" s="1">
        <f>F53/C53</f>
        <v>0.15600000000000003</v>
      </c>
    </row>
    <row r="54" spans="1:8" x14ac:dyDescent="0.25">
      <c r="A54" s="2" t="s">
        <v>1052</v>
      </c>
      <c r="B54" s="1" t="s">
        <v>725</v>
      </c>
      <c r="C54" s="339">
        <v>41800</v>
      </c>
      <c r="D54" s="2" t="s">
        <v>976</v>
      </c>
      <c r="E54" s="2" t="s">
        <v>977</v>
      </c>
      <c r="F54" s="339">
        <v>9237.8</v>
      </c>
      <c r="H54" s="1">
        <f>F54/C54</f>
        <v>0.22099999999999997</v>
      </c>
    </row>
    <row r="55" spans="1:8" x14ac:dyDescent="0.25">
      <c r="A55" s="2" t="s">
        <v>841</v>
      </c>
      <c r="B55" s="1" t="s">
        <v>842</v>
      </c>
      <c r="C55" s="339">
        <v>31950</v>
      </c>
      <c r="D55" s="2" t="s">
        <v>976</v>
      </c>
      <c r="E55" s="2" t="s">
        <v>977</v>
      </c>
      <c r="F55" s="339">
        <v>5143.95</v>
      </c>
      <c r="H55" s="342">
        <f>F55/C55</f>
        <v>0.161</v>
      </c>
    </row>
    <row r="56" spans="1:8" x14ac:dyDescent="0.25">
      <c r="A56" s="2" t="s">
        <v>655</v>
      </c>
      <c r="B56" s="1" t="s">
        <v>656</v>
      </c>
      <c r="C56" s="339">
        <v>48900</v>
      </c>
      <c r="D56" s="2" t="s">
        <v>976</v>
      </c>
      <c r="E56" s="2" t="s">
        <v>977</v>
      </c>
      <c r="F56" s="339">
        <v>9388.8</v>
      </c>
      <c r="H56" s="1">
        <f>F56/C56</f>
        <v>0.19199999999999998</v>
      </c>
    </row>
    <row r="57" spans="1:6" x14ac:dyDescent="0.25">
      <c r="A57" s="2" t="s">
        <v>1053</v>
      </c>
      <c r="B57" s="1" t="s">
        <v>1054</v>
      </c>
      <c r="C57" s="339">
        <v>13300</v>
      </c>
      <c r="D57" s="2" t="s">
        <v>976</v>
      </c>
      <c r="E57" s="2" t="s">
        <v>977</v>
      </c>
      <c r="F57" s="339">
        <v>3830.4</v>
      </c>
    </row>
    <row r="58" spans="1:6" x14ac:dyDescent="0.25">
      <c r="A58" s="2" t="s">
        <v>1055</v>
      </c>
      <c r="B58" s="1" t="s">
        <v>1056</v>
      </c>
      <c r="C58" s="339">
        <v>4550</v>
      </c>
      <c r="D58" s="2" t="s">
        <v>976</v>
      </c>
      <c r="E58" s="2" t="s">
        <v>977</v>
      </c>
      <c r="F58" s="339">
        <v>1569.75</v>
      </c>
    </row>
    <row r="59" spans="1:6" x14ac:dyDescent="0.25">
      <c r="A59" s="2" t="s">
        <v>1057</v>
      </c>
      <c r="B59" s="1" t="s">
        <v>1058</v>
      </c>
      <c r="C59" s="339">
        <v>884.3</v>
      </c>
      <c r="D59" s="2" t="s">
        <v>980</v>
      </c>
      <c r="E59" s="2" t="s">
        <v>977</v>
      </c>
      <c r="F59" s="339">
        <v>2034.99</v>
      </c>
    </row>
    <row r="60" spans="1:6" x14ac:dyDescent="0.25">
      <c r="A60" s="2" t="s">
        <v>1059</v>
      </c>
      <c r="B60" s="1" t="s">
        <v>1060</v>
      </c>
      <c r="C60" s="339">
        <v>3.15</v>
      </c>
      <c r="D60" s="2" t="s">
        <v>980</v>
      </c>
      <c r="E60" s="2" t="s">
        <v>977</v>
      </c>
      <c r="F60" s="339">
        <v>12.26</v>
      </c>
    </row>
    <row r="61" spans="1:6" x14ac:dyDescent="0.25">
      <c r="A61" s="2" t="s">
        <v>1061</v>
      </c>
      <c r="B61" s="1" t="s">
        <v>1062</v>
      </c>
      <c r="C61" s="339">
        <v>850</v>
      </c>
      <c r="D61" s="2" t="s">
        <v>976</v>
      </c>
      <c r="E61" s="2" t="s">
        <v>1063</v>
      </c>
      <c r="F61" s="339">
        <v>221</v>
      </c>
    </row>
    <row r="62" spans="1:8" x14ac:dyDescent="0.25">
      <c r="A62" s="2" t="s">
        <v>1061</v>
      </c>
      <c r="B62" s="1" t="s">
        <v>1062</v>
      </c>
      <c r="C62" s="339">
        <v>14570</v>
      </c>
      <c r="D62" s="2" t="s">
        <v>976</v>
      </c>
      <c r="E62" s="2" t="s">
        <v>977</v>
      </c>
      <c r="F62" s="339">
        <v>4851.81</v>
      </c>
      <c r="H62" s="1">
        <f>F62/C62</f>
        <v>0.333</v>
      </c>
    </row>
    <row r="63" spans="1:8" x14ac:dyDescent="0.25">
      <c r="A63" s="2" t="s">
        <v>735</v>
      </c>
      <c r="B63" s="1" t="s">
        <v>736</v>
      </c>
      <c r="C63" s="339">
        <v>7500</v>
      </c>
      <c r="D63" s="2" t="s">
        <v>976</v>
      </c>
      <c r="E63" s="2" t="s">
        <v>977</v>
      </c>
      <c r="F63" s="339">
        <v>510</v>
      </c>
      <c r="H63" s="1">
        <f>F63/C63</f>
        <v>0.068</v>
      </c>
    </row>
    <row r="64" spans="1:8" x14ac:dyDescent="0.25">
      <c r="A64" s="2" t="s">
        <v>787</v>
      </c>
      <c r="B64" s="1" t="s">
        <v>788</v>
      </c>
      <c r="C64" s="339">
        <v>9000</v>
      </c>
      <c r="D64" s="2" t="s">
        <v>976</v>
      </c>
      <c r="E64" s="2" t="s">
        <v>977</v>
      </c>
      <c r="F64" s="339">
        <v>972</v>
      </c>
      <c r="H64" s="1">
        <f>F64/C64</f>
        <v>0.108</v>
      </c>
    </row>
    <row r="65" spans="1:8" x14ac:dyDescent="0.25">
      <c r="A65" s="2" t="s">
        <v>558</v>
      </c>
      <c r="B65" s="1" t="s">
        <v>559</v>
      </c>
      <c r="C65" s="339">
        <v>20700.9</v>
      </c>
      <c r="D65" s="2" t="s">
        <v>976</v>
      </c>
      <c r="E65" s="2" t="s">
        <v>977</v>
      </c>
      <c r="F65" s="339">
        <v>2856.72</v>
      </c>
      <c r="H65" s="340">
        <f>F65/C65</f>
        <v>0.13799979711027055</v>
      </c>
    </row>
    <row r="66" spans="1:6" x14ac:dyDescent="0.25">
      <c r="A66" s="2" t="s">
        <v>1064</v>
      </c>
      <c r="B66" s="1" t="s">
        <v>1065</v>
      </c>
      <c r="C66" s="339">
        <v>50800</v>
      </c>
      <c r="D66" s="2" t="s">
        <v>976</v>
      </c>
      <c r="E66" s="2" t="s">
        <v>977</v>
      </c>
      <c r="F66" s="339">
        <v>10820.4</v>
      </c>
    </row>
    <row r="67" spans="1:8" x14ac:dyDescent="0.25">
      <c r="A67" s="2" t="s">
        <v>693</v>
      </c>
      <c r="B67" s="1" t="s">
        <v>694</v>
      </c>
      <c r="C67" s="339">
        <v>1483.42</v>
      </c>
      <c r="D67" s="2" t="s">
        <v>976</v>
      </c>
      <c r="E67" s="2" t="s">
        <v>977</v>
      </c>
      <c r="F67" s="339">
        <v>90.49</v>
      </c>
      <c r="H67" s="340">
        <f>F67/C67</f>
        <v>0.06100093028272505</v>
      </c>
    </row>
    <row r="68" spans="1:6" x14ac:dyDescent="0.25">
      <c r="A68" s="2" t="s">
        <v>1066</v>
      </c>
      <c r="B68" s="1" t="s">
        <v>1067</v>
      </c>
      <c r="C68" s="339">
        <v>18800</v>
      </c>
      <c r="D68" s="2" t="s">
        <v>976</v>
      </c>
      <c r="E68" s="2" t="s">
        <v>977</v>
      </c>
      <c r="F68" s="339">
        <v>3102</v>
      </c>
    </row>
    <row r="69" spans="1:6" x14ac:dyDescent="0.25">
      <c r="A69" s="2" t="s">
        <v>1068</v>
      </c>
      <c r="B69" s="1" t="s">
        <v>1069</v>
      </c>
      <c r="C69" s="339">
        <v>11000</v>
      </c>
      <c r="D69" s="2" t="s">
        <v>976</v>
      </c>
      <c r="E69" s="2" t="s">
        <v>977</v>
      </c>
      <c r="F69" s="339">
        <v>2008</v>
      </c>
    </row>
    <row r="70" spans="1:6" x14ac:dyDescent="0.25">
      <c r="A70" s="2" t="s">
        <v>1070</v>
      </c>
      <c r="B70" s="1" t="s">
        <v>1071</v>
      </c>
      <c r="C70" s="339">
        <v>3310</v>
      </c>
      <c r="D70" s="2" t="s">
        <v>976</v>
      </c>
      <c r="E70" s="2" t="s">
        <v>977</v>
      </c>
      <c r="F70" s="339">
        <v>860.6</v>
      </c>
    </row>
    <row r="71" spans="1:8" x14ac:dyDescent="0.25">
      <c r="A71" s="2" t="s">
        <v>591</v>
      </c>
      <c r="B71" s="1" t="s">
        <v>592</v>
      </c>
      <c r="C71" s="339">
        <v>42000</v>
      </c>
      <c r="D71" s="2" t="s">
        <v>976</v>
      </c>
      <c r="E71" s="2" t="s">
        <v>977</v>
      </c>
      <c r="F71" s="339">
        <v>5082</v>
      </c>
      <c r="H71" s="1">
        <f>F71/C71</f>
        <v>0.121</v>
      </c>
    </row>
    <row r="72" spans="1:6" x14ac:dyDescent="0.25">
      <c r="A72" s="2" t="s">
        <v>1072</v>
      </c>
      <c r="B72" s="1" t="s">
        <v>1073</v>
      </c>
      <c r="C72" s="339">
        <v>29200</v>
      </c>
      <c r="D72" s="2" t="s">
        <v>976</v>
      </c>
      <c r="E72" s="2" t="s">
        <v>977</v>
      </c>
      <c r="F72" s="339">
        <v>8326.8</v>
      </c>
    </row>
    <row r="73" spans="1:8" x14ac:dyDescent="0.25">
      <c r="A73" s="2" t="s">
        <v>839</v>
      </c>
      <c r="B73" s="1" t="s">
        <v>840</v>
      </c>
      <c r="C73" s="339">
        <v>8750</v>
      </c>
      <c r="D73" s="2" t="s">
        <v>976</v>
      </c>
      <c r="E73" s="2" t="s">
        <v>977</v>
      </c>
      <c r="F73" s="339">
        <v>1793.76</v>
      </c>
      <c r="H73" s="340">
        <f>F73/C73</f>
        <v>0.20500114285714285</v>
      </c>
    </row>
    <row r="74" spans="1:6" x14ac:dyDescent="0.25">
      <c r="A74" s="2" t="s">
        <v>1074</v>
      </c>
      <c r="B74" s="1" t="s">
        <v>1075</v>
      </c>
      <c r="C74" s="339">
        <v>18400</v>
      </c>
      <c r="D74" s="2" t="s">
        <v>976</v>
      </c>
      <c r="E74" s="2" t="s">
        <v>977</v>
      </c>
      <c r="F74" s="339">
        <v>2852.01</v>
      </c>
    </row>
    <row r="75" spans="1:8" x14ac:dyDescent="0.25">
      <c r="A75" s="2" t="s">
        <v>650</v>
      </c>
      <c r="B75" s="1" t="s">
        <v>651</v>
      </c>
      <c r="C75" s="339">
        <v>600</v>
      </c>
      <c r="D75" s="2" t="s">
        <v>976</v>
      </c>
      <c r="E75" s="2" t="s">
        <v>977</v>
      </c>
      <c r="F75" s="339">
        <v>117</v>
      </c>
      <c r="H75" s="1">
        <f>F75/C75</f>
        <v>0.195</v>
      </c>
    </row>
    <row r="76" spans="1:8" x14ac:dyDescent="0.25">
      <c r="A76" s="2" t="s">
        <v>594</v>
      </c>
      <c r="B76" s="1" t="s">
        <v>595</v>
      </c>
      <c r="C76" s="339">
        <v>43200</v>
      </c>
      <c r="D76" s="2" t="s">
        <v>976</v>
      </c>
      <c r="E76" s="2" t="s">
        <v>977</v>
      </c>
      <c r="F76" s="339">
        <v>8916.51</v>
      </c>
      <c r="H76" s="340">
        <f>F76/C76</f>
        <v>0.20640069444444445</v>
      </c>
    </row>
    <row r="77" spans="1:8" x14ac:dyDescent="0.25">
      <c r="A77" s="2" t="s">
        <v>728</v>
      </c>
      <c r="B77" s="1" t="s">
        <v>729</v>
      </c>
      <c r="C77" s="339">
        <v>5992</v>
      </c>
      <c r="D77" s="2" t="s">
        <v>976</v>
      </c>
      <c r="E77" s="2" t="s">
        <v>977</v>
      </c>
      <c r="F77" s="339">
        <v>1911.45</v>
      </c>
      <c r="H77" s="340">
        <f>F77/C77</f>
        <v>0.31900033377837117</v>
      </c>
    </row>
    <row r="78" spans="1:6" x14ac:dyDescent="0.25">
      <c r="A78" s="2" t="s">
        <v>1076</v>
      </c>
      <c r="B78" s="1" t="s">
        <v>1077</v>
      </c>
      <c r="C78" s="339">
        <v>20000</v>
      </c>
      <c r="D78" s="2" t="s">
        <v>976</v>
      </c>
      <c r="E78" s="2" t="s">
        <v>977</v>
      </c>
      <c r="F78" s="339">
        <v>3633</v>
      </c>
    </row>
    <row r="79" spans="1:8" x14ac:dyDescent="0.25">
      <c r="A79" s="2" t="s">
        <v>668</v>
      </c>
      <c r="B79" s="1" t="s">
        <v>669</v>
      </c>
      <c r="C79" s="339">
        <v>43200</v>
      </c>
      <c r="D79" s="2" t="s">
        <v>976</v>
      </c>
      <c r="E79" s="2" t="s">
        <v>977</v>
      </c>
      <c r="F79" s="339">
        <v>9244.8</v>
      </c>
      <c r="H79" s="1">
        <f>F79/C79</f>
        <v>0.214</v>
      </c>
    </row>
    <row r="80" spans="1:8" x14ac:dyDescent="0.25">
      <c r="A80" s="2" t="s">
        <v>589</v>
      </c>
      <c r="B80" s="1" t="s">
        <v>590</v>
      </c>
      <c r="C80" s="339">
        <v>22000</v>
      </c>
      <c r="D80" s="2" t="s">
        <v>976</v>
      </c>
      <c r="E80" s="2" t="s">
        <v>977</v>
      </c>
      <c r="F80" s="339">
        <v>4862</v>
      </c>
      <c r="H80" s="1">
        <f>F80/C80</f>
        <v>0.221</v>
      </c>
    </row>
    <row r="81" spans="1:6" x14ac:dyDescent="0.25">
      <c r="A81" s="2" t="s">
        <v>1078</v>
      </c>
      <c r="B81" s="1" t="s">
        <v>1079</v>
      </c>
      <c r="C81" s="339">
        <v>15500</v>
      </c>
      <c r="D81" s="2" t="s">
        <v>976</v>
      </c>
      <c r="E81" s="2" t="s">
        <v>977</v>
      </c>
      <c r="F81" s="339">
        <v>3317</v>
      </c>
    </row>
    <row r="82" spans="1:6" x14ac:dyDescent="0.25">
      <c r="A82" s="2" t="s">
        <v>1080</v>
      </c>
      <c r="B82" s="1" t="s">
        <v>1081</v>
      </c>
      <c r="C82" s="339">
        <v>100</v>
      </c>
      <c r="D82" s="2" t="s">
        <v>976</v>
      </c>
      <c r="E82" s="2" t="s">
        <v>977</v>
      </c>
      <c r="F82" s="339">
        <v>35.6</v>
      </c>
    </row>
    <row r="83" spans="1:6" x14ac:dyDescent="0.25">
      <c r="A83" s="2" t="s">
        <v>1082</v>
      </c>
      <c r="B83" s="1" t="s">
        <v>1083</v>
      </c>
      <c r="C83" s="339">
        <v>100</v>
      </c>
      <c r="D83" s="2" t="s">
        <v>976</v>
      </c>
      <c r="E83" s="2" t="s">
        <v>977</v>
      </c>
      <c r="F83" s="339">
        <v>19</v>
      </c>
    </row>
    <row r="84" spans="1:6" x14ac:dyDescent="0.25">
      <c r="A84" s="2" t="s">
        <v>1084</v>
      </c>
      <c r="B84" s="1" t="s">
        <v>1085</v>
      </c>
      <c r="C84" s="339">
        <v>15600</v>
      </c>
      <c r="D84" s="2" t="s">
        <v>976</v>
      </c>
      <c r="E84" s="2" t="s">
        <v>977</v>
      </c>
      <c r="F84" s="339">
        <v>2948.4</v>
      </c>
    </row>
    <row r="85" spans="1:8" x14ac:dyDescent="0.25">
      <c r="A85" s="2" t="s">
        <v>771</v>
      </c>
      <c r="B85" s="1" t="s">
        <v>772</v>
      </c>
      <c r="C85" s="339">
        <v>33900</v>
      </c>
      <c r="D85" s="2" t="s">
        <v>976</v>
      </c>
      <c r="E85" s="2" t="s">
        <v>977</v>
      </c>
      <c r="F85" s="339">
        <v>9085.2</v>
      </c>
      <c r="H85" s="1">
        <f>F85/C85</f>
        <v>0.268</v>
      </c>
    </row>
    <row r="86" spans="1:8" x14ac:dyDescent="0.25">
      <c r="A86" s="2" t="s">
        <v>806</v>
      </c>
      <c r="B86" s="1" t="s">
        <v>807</v>
      </c>
      <c r="C86" s="339">
        <v>12000</v>
      </c>
      <c r="D86" s="2" t="s">
        <v>976</v>
      </c>
      <c r="E86" s="2" t="s">
        <v>977</v>
      </c>
      <c r="F86" s="339">
        <v>5820</v>
      </c>
      <c r="H86" s="1">
        <f>F86/C86</f>
        <v>0.485</v>
      </c>
    </row>
    <row r="87" spans="1:6" x14ac:dyDescent="0.25">
      <c r="A87" s="2" t="s">
        <v>1086</v>
      </c>
      <c r="B87" s="1" t="s">
        <v>1087</v>
      </c>
      <c r="C87" s="339">
        <v>156.25</v>
      </c>
      <c r="D87" s="2" t="s">
        <v>976</v>
      </c>
      <c r="E87" s="2" t="s">
        <v>977</v>
      </c>
      <c r="F87" s="339">
        <v>17.81</v>
      </c>
    </row>
    <row r="88" spans="1:8" x14ac:dyDescent="0.25">
      <c r="A88" s="2" t="s">
        <v>701</v>
      </c>
      <c r="B88" s="1" t="s">
        <v>702</v>
      </c>
      <c r="C88" s="339">
        <v>4000</v>
      </c>
      <c r="D88" s="2" t="s">
        <v>976</v>
      </c>
      <c r="E88" s="2" t="s">
        <v>977</v>
      </c>
      <c r="F88" s="339">
        <v>3956</v>
      </c>
      <c r="H88" s="1">
        <f t="shared" ref="H88:H93" si="0">F88/C88</f>
        <v>0.989</v>
      </c>
    </row>
    <row r="89" spans="1:8" x14ac:dyDescent="0.25">
      <c r="A89" s="2" t="s">
        <v>1088</v>
      </c>
      <c r="B89" s="1" t="s">
        <v>1089</v>
      </c>
      <c r="C89" s="339">
        <v>7200</v>
      </c>
      <c r="D89" s="2" t="s">
        <v>976</v>
      </c>
      <c r="E89" s="2" t="s">
        <v>977</v>
      </c>
      <c r="F89" s="339">
        <v>6228</v>
      </c>
      <c r="H89" s="1">
        <v>0.865</v>
      </c>
    </row>
    <row r="90" spans="1:8" x14ac:dyDescent="0.25">
      <c r="A90" s="2" t="s">
        <v>569</v>
      </c>
      <c r="B90" s="1" t="s">
        <v>570</v>
      </c>
      <c r="C90" s="339">
        <v>1900</v>
      </c>
      <c r="D90" s="2" t="s">
        <v>976</v>
      </c>
      <c r="E90" s="2" t="s">
        <v>977</v>
      </c>
      <c r="F90" s="339">
        <v>585.2</v>
      </c>
      <c r="H90" s="1">
        <v>0.30800000000000005</v>
      </c>
    </row>
    <row r="91" spans="1:8" x14ac:dyDescent="0.25">
      <c r="A91" s="2" t="s">
        <v>867</v>
      </c>
      <c r="B91" s="1" t="s">
        <v>868</v>
      </c>
      <c r="C91" s="339">
        <v>294</v>
      </c>
      <c r="D91" s="2" t="s">
        <v>976</v>
      </c>
      <c r="E91" s="2" t="s">
        <v>977</v>
      </c>
      <c r="F91" s="339">
        <v>34.69</v>
      </c>
      <c r="H91" s="340">
        <v>0.11799319727891155</v>
      </c>
    </row>
    <row r="92" spans="1:8" x14ac:dyDescent="0.25">
      <c r="A92" s="2" t="s">
        <v>1090</v>
      </c>
      <c r="B92" s="1" t="s">
        <v>1091</v>
      </c>
      <c r="C92" s="339">
        <v>13500</v>
      </c>
      <c r="D92" s="2" t="s">
        <v>976</v>
      </c>
      <c r="E92" s="2" t="s">
        <v>977</v>
      </c>
      <c r="F92" s="339">
        <v>1228.5</v>
      </c>
      <c r="H92" s="1">
        <v>0.091</v>
      </c>
    </row>
    <row r="93" spans="1:8" x14ac:dyDescent="0.25">
      <c r="A93" s="2" t="s">
        <v>691</v>
      </c>
      <c r="B93" s="1" t="s">
        <v>692</v>
      </c>
      <c r="C93" s="339">
        <v>70200</v>
      </c>
      <c r="D93" s="2" t="s">
        <v>976</v>
      </c>
      <c r="E93" s="2" t="s">
        <v>977</v>
      </c>
      <c r="F93" s="339">
        <v>8002.8</v>
      </c>
      <c r="H93" s="1">
        <v>0.114</v>
      </c>
    </row>
    <row r="94" spans="1:6" x14ac:dyDescent="0.25">
      <c r="A94" s="2" t="s">
        <v>1092</v>
      </c>
      <c r="B94" s="1" t="s">
        <v>1093</v>
      </c>
      <c r="C94" s="339">
        <v>33200</v>
      </c>
      <c r="D94" s="2" t="s">
        <v>976</v>
      </c>
      <c r="E94" s="2" t="s">
        <v>977</v>
      </c>
      <c r="F94" s="339">
        <v>9628</v>
      </c>
    </row>
    <row r="95" spans="1:6" x14ac:dyDescent="0.25">
      <c r="A95" s="2" t="s">
        <v>1094</v>
      </c>
      <c r="B95" s="1" t="s">
        <v>1095</v>
      </c>
      <c r="C95" s="339">
        <v>34800</v>
      </c>
      <c r="D95" s="2" t="s">
        <v>976</v>
      </c>
      <c r="E95" s="2" t="s">
        <v>977</v>
      </c>
      <c r="F95" s="339">
        <v>8560.8</v>
      </c>
    </row>
    <row r="96" spans="1:8" x14ac:dyDescent="0.25">
      <c r="A96" s="2" t="s">
        <v>739</v>
      </c>
      <c r="B96" s="1" t="s">
        <v>740</v>
      </c>
      <c r="C96" s="339">
        <v>45000</v>
      </c>
      <c r="D96" s="2" t="s">
        <v>976</v>
      </c>
      <c r="E96" s="2" t="s">
        <v>977</v>
      </c>
      <c r="F96" s="339">
        <v>8865</v>
      </c>
      <c r="H96" s="1">
        <f>F96/C96</f>
        <v>0.197</v>
      </c>
    </row>
    <row r="97" spans="1:6" x14ac:dyDescent="0.25">
      <c r="A97" s="2" t="s">
        <v>1096</v>
      </c>
      <c r="B97" s="1" t="s">
        <v>1097</v>
      </c>
      <c r="C97" s="339">
        <v>59500</v>
      </c>
      <c r="D97" s="2" t="s">
        <v>976</v>
      </c>
      <c r="E97" s="2" t="s">
        <v>977</v>
      </c>
      <c r="F97" s="339">
        <v>23740.5</v>
      </c>
    </row>
    <row r="98" spans="1:6" x14ac:dyDescent="0.25">
      <c r="A98" s="2" t="s">
        <v>1098</v>
      </c>
      <c r="B98" s="1" t="s">
        <v>1099</v>
      </c>
      <c r="C98" s="339">
        <v>3400</v>
      </c>
      <c r="D98" s="2" t="s">
        <v>976</v>
      </c>
      <c r="E98" s="2" t="s">
        <v>977</v>
      </c>
      <c r="F98" s="339">
        <v>649.4</v>
      </c>
    </row>
    <row r="99" spans="1:8" x14ac:dyDescent="0.25">
      <c r="A99" s="2" t="s">
        <v>1100</v>
      </c>
      <c r="B99" s="1" t="s">
        <v>1101</v>
      </c>
      <c r="C99" s="339">
        <v>600</v>
      </c>
      <c r="D99" s="2" t="s">
        <v>976</v>
      </c>
      <c r="E99" s="2" t="s">
        <v>977</v>
      </c>
      <c r="F99" s="339">
        <v>7350</v>
      </c>
      <c r="H99" s="1">
        <f>+F99/C99</f>
        <v>12.25</v>
      </c>
    </row>
    <row r="100" spans="1:6" x14ac:dyDescent="0.25">
      <c r="A100" s="2" t="s">
        <v>1102</v>
      </c>
      <c r="B100" s="1" t="s">
        <v>1103</v>
      </c>
      <c r="C100" s="339">
        <v>3831</v>
      </c>
      <c r="D100" s="2" t="s">
        <v>976</v>
      </c>
      <c r="E100" s="2" t="s">
        <v>977</v>
      </c>
      <c r="F100" s="339">
        <v>4673.82</v>
      </c>
    </row>
    <row r="101" spans="1:6" x14ac:dyDescent="0.25">
      <c r="A101" s="2" t="s">
        <v>1104</v>
      </c>
      <c r="B101" s="1" t="s">
        <v>1105</v>
      </c>
      <c r="C101" s="339">
        <v>40</v>
      </c>
      <c r="D101" s="2" t="s">
        <v>976</v>
      </c>
      <c r="E101" s="2" t="s">
        <v>977</v>
      </c>
      <c r="F101" s="339">
        <v>308</v>
      </c>
    </row>
    <row r="102" spans="1:6" x14ac:dyDescent="0.25">
      <c r="A102" s="2" t="s">
        <v>1106</v>
      </c>
      <c r="B102" s="1" t="s">
        <v>1107</v>
      </c>
      <c r="C102" s="339">
        <v>510.5</v>
      </c>
      <c r="D102" s="2" t="s">
        <v>976</v>
      </c>
      <c r="E102" s="2" t="s">
        <v>977</v>
      </c>
      <c r="F102" s="339">
        <v>1888.85</v>
      </c>
    </row>
    <row r="103" spans="1:9" x14ac:dyDescent="0.25">
      <c r="A103" s="2" t="s">
        <v>1108</v>
      </c>
      <c r="B103" s="1" t="s">
        <v>1109</v>
      </c>
      <c r="C103" s="339">
        <v>642</v>
      </c>
      <c r="D103" s="2" t="s">
        <v>976</v>
      </c>
      <c r="E103" s="2" t="s">
        <v>977</v>
      </c>
      <c r="F103" s="339">
        <v>7447.2</v>
      </c>
      <c r="H103" s="1">
        <f>+F103/C103</f>
        <v>11.6</v>
      </c>
      <c r="I103" s="1">
        <f>+H103/1000</f>
        <v>0.0116</v>
      </c>
    </row>
    <row r="104" spans="1:6" x14ac:dyDescent="0.25">
      <c r="A104" s="2" t="s">
        <v>1110</v>
      </c>
      <c r="B104" s="1" t="s">
        <v>1111</v>
      </c>
      <c r="C104" s="339">
        <v>1113.48</v>
      </c>
      <c r="D104" s="2" t="s">
        <v>980</v>
      </c>
      <c r="E104" s="2" t="s">
        <v>977</v>
      </c>
      <c r="F104" s="339">
        <v>2789.29</v>
      </c>
    </row>
    <row r="105" spans="1:6" x14ac:dyDescent="0.25">
      <c r="A105" s="2" t="s">
        <v>1112</v>
      </c>
      <c r="B105" s="1" t="s">
        <v>1113</v>
      </c>
      <c r="C105" s="339">
        <v>220</v>
      </c>
      <c r="D105" s="2" t="s">
        <v>987</v>
      </c>
      <c r="E105" s="2" t="s">
        <v>990</v>
      </c>
      <c r="F105" s="339">
        <v>30580</v>
      </c>
    </row>
    <row r="106" spans="1:6" x14ac:dyDescent="0.25">
      <c r="A106" s="2" t="s">
        <v>1114</v>
      </c>
      <c r="B106" s="1" t="s">
        <v>1115</v>
      </c>
      <c r="C106" s="339">
        <v>60</v>
      </c>
      <c r="D106" s="2" t="s">
        <v>987</v>
      </c>
      <c r="E106" s="2" t="s">
        <v>990</v>
      </c>
      <c r="F106" s="339">
        <v>8340</v>
      </c>
    </row>
    <row r="107" spans="1:6" x14ac:dyDescent="0.25">
      <c r="A107" s="2" t="s">
        <v>1116</v>
      </c>
      <c r="B107" s="1" t="s">
        <v>1117</v>
      </c>
      <c r="C107" s="339">
        <v>230</v>
      </c>
      <c r="D107" s="2" t="s">
        <v>987</v>
      </c>
      <c r="E107" s="2" t="s">
        <v>990</v>
      </c>
      <c r="F107" s="339">
        <v>31970</v>
      </c>
    </row>
    <row r="108" spans="1:6" x14ac:dyDescent="0.25">
      <c r="A108" s="2" t="s">
        <v>1118</v>
      </c>
      <c r="B108" s="1" t="s">
        <v>1119</v>
      </c>
      <c r="C108" s="339">
        <v>150</v>
      </c>
      <c r="D108" s="2" t="s">
        <v>987</v>
      </c>
      <c r="E108" s="2" t="s">
        <v>990</v>
      </c>
      <c r="F108" s="339">
        <v>17180</v>
      </c>
    </row>
    <row r="109" spans="1:6" x14ac:dyDescent="0.25">
      <c r="A109" s="2" t="s">
        <v>1120</v>
      </c>
      <c r="B109" s="1" t="s">
        <v>1121</v>
      </c>
      <c r="C109" s="339">
        <v>80</v>
      </c>
      <c r="D109" s="2" t="s">
        <v>987</v>
      </c>
      <c r="E109" s="2" t="s">
        <v>990</v>
      </c>
      <c r="F109" s="339">
        <v>10720</v>
      </c>
    </row>
    <row r="110" spans="1:6" x14ac:dyDescent="0.25">
      <c r="A110" s="2" t="s">
        <v>1122</v>
      </c>
      <c r="B110" s="1" t="s">
        <v>1123</v>
      </c>
      <c r="C110" s="339">
        <v>260</v>
      </c>
      <c r="D110" s="2" t="s">
        <v>987</v>
      </c>
      <c r="E110" s="2" t="s">
        <v>990</v>
      </c>
      <c r="F110" s="339">
        <v>85101.64</v>
      </c>
    </row>
    <row r="111" spans="1:6" x14ac:dyDescent="0.25">
      <c r="A111" s="2" t="s">
        <v>1124</v>
      </c>
      <c r="B111" s="1" t="s">
        <v>1125</v>
      </c>
      <c r="C111" s="339">
        <v>1100</v>
      </c>
      <c r="D111" s="2" t="s">
        <v>987</v>
      </c>
      <c r="E111" s="2" t="s">
        <v>990</v>
      </c>
      <c r="F111" s="339">
        <v>89599.4</v>
      </c>
    </row>
    <row r="112" spans="1:6" x14ac:dyDescent="0.25">
      <c r="A112" s="2" t="s">
        <v>1126</v>
      </c>
      <c r="B112" s="1" t="s">
        <v>1127</v>
      </c>
      <c r="C112" s="339">
        <v>601.3</v>
      </c>
      <c r="D112" s="2" t="s">
        <v>980</v>
      </c>
      <c r="E112" s="2" t="s">
        <v>977</v>
      </c>
      <c r="F112" s="339">
        <v>3307.15</v>
      </c>
    </row>
    <row r="113" spans="1:8" x14ac:dyDescent="0.25">
      <c r="A113" s="2" t="s">
        <v>566</v>
      </c>
      <c r="B113" s="1" t="s">
        <v>567</v>
      </c>
      <c r="C113" s="339">
        <v>221391</v>
      </c>
      <c r="D113" s="2" t="s">
        <v>976</v>
      </c>
      <c r="E113" s="2" t="s">
        <v>977</v>
      </c>
      <c r="F113" s="339">
        <v>5979.65</v>
      </c>
      <c r="H113" s="1">
        <f>F113/C113</f>
        <v>0.02700945386217145</v>
      </c>
    </row>
    <row r="114" spans="1:8" x14ac:dyDescent="0.25">
      <c r="A114" s="2" t="s">
        <v>1128</v>
      </c>
      <c r="B114" s="1" t="s">
        <v>1129</v>
      </c>
      <c r="C114" s="339">
        <v>262500</v>
      </c>
      <c r="D114" s="2" t="s">
        <v>976</v>
      </c>
      <c r="E114" s="2" t="s">
        <v>977</v>
      </c>
      <c r="F114" s="339">
        <v>6915.5</v>
      </c>
      <c r="H114" s="1">
        <f>+F114/C114</f>
        <v>0.026344761904761906</v>
      </c>
    </row>
    <row r="115" spans="1:8" x14ac:dyDescent="0.25">
      <c r="A115" s="2" t="s">
        <v>1130</v>
      </c>
      <c r="B115" s="1" t="s">
        <v>1131</v>
      </c>
      <c r="C115" s="339">
        <v>41600</v>
      </c>
      <c r="D115" s="2" t="s">
        <v>976</v>
      </c>
      <c r="E115" s="2" t="s">
        <v>977</v>
      </c>
      <c r="F115" s="339">
        <v>1372.8</v>
      </c>
      <c r="H115" s="1">
        <f>F115/C115</f>
        <v>0.033</v>
      </c>
    </row>
    <row r="116" spans="1:6" x14ac:dyDescent="0.25">
      <c r="A116" s="2" t="s">
        <v>1132</v>
      </c>
      <c r="B116" s="1" t="s">
        <v>1133</v>
      </c>
      <c r="C116" s="339">
        <v>2000</v>
      </c>
      <c r="D116" s="2" t="s">
        <v>976</v>
      </c>
      <c r="E116" s="2" t="s">
        <v>977</v>
      </c>
      <c r="F116" s="339">
        <v>150</v>
      </c>
    </row>
    <row r="117" spans="1:6" x14ac:dyDescent="0.25">
      <c r="A117" s="2" t="s">
        <v>1134</v>
      </c>
      <c r="B117" s="1" t="s">
        <v>1135</v>
      </c>
      <c r="C117" s="339">
        <v>3000</v>
      </c>
      <c r="D117" s="2" t="s">
        <v>976</v>
      </c>
      <c r="E117" s="2" t="s">
        <v>977</v>
      </c>
      <c r="F117" s="339">
        <v>225</v>
      </c>
    </row>
    <row r="118" spans="1:6" x14ac:dyDescent="0.25">
      <c r="A118" s="2" t="s">
        <v>1136</v>
      </c>
      <c r="B118" s="1" t="s">
        <v>1137</v>
      </c>
      <c r="C118" s="339">
        <v>4000</v>
      </c>
      <c r="D118" s="2" t="s">
        <v>976</v>
      </c>
      <c r="E118" s="2" t="s">
        <v>977</v>
      </c>
      <c r="F118" s="339">
        <v>300</v>
      </c>
    </row>
    <row r="119" spans="1:6" x14ac:dyDescent="0.25">
      <c r="A119" s="2" t="s">
        <v>1138</v>
      </c>
      <c r="B119" s="1" t="s">
        <v>1139</v>
      </c>
      <c r="C119" s="339">
        <v>253984</v>
      </c>
      <c r="D119" s="2" t="s">
        <v>976</v>
      </c>
      <c r="E119" s="2" t="s">
        <v>977</v>
      </c>
      <c r="F119" s="339">
        <v>15178.94</v>
      </c>
    </row>
    <row r="120" spans="1:8" x14ac:dyDescent="0.25">
      <c r="A120" s="2" t="s">
        <v>574</v>
      </c>
      <c r="B120" s="1" t="s">
        <v>575</v>
      </c>
      <c r="C120" s="339">
        <v>222000</v>
      </c>
      <c r="D120" s="2" t="s">
        <v>976</v>
      </c>
      <c r="E120" s="2" t="s">
        <v>977</v>
      </c>
      <c r="F120" s="339">
        <v>4417.8</v>
      </c>
      <c r="H120" s="1">
        <f>F120/C120</f>
        <v>0.0199</v>
      </c>
    </row>
    <row r="121" spans="1:8" x14ac:dyDescent="0.25">
      <c r="A121" s="2" t="s">
        <v>1140</v>
      </c>
      <c r="B121" s="1" t="s">
        <v>1141</v>
      </c>
      <c r="C121" s="339">
        <v>362200</v>
      </c>
      <c r="D121" s="2" t="s">
        <v>976</v>
      </c>
      <c r="E121" s="2" t="s">
        <v>977</v>
      </c>
      <c r="F121" s="339">
        <v>16117.9</v>
      </c>
      <c r="H121" s="1">
        <f>F121/C121</f>
        <v>0.0445</v>
      </c>
    </row>
    <row r="122" spans="1:6" x14ac:dyDescent="0.25">
      <c r="A122" s="2" t="s">
        <v>1142</v>
      </c>
      <c r="B122" s="1" t="s">
        <v>1143</v>
      </c>
      <c r="C122" s="339">
        <v>189000</v>
      </c>
      <c r="D122" s="2" t="s">
        <v>976</v>
      </c>
      <c r="E122" s="2" t="s">
        <v>977</v>
      </c>
      <c r="F122" s="339">
        <v>2295</v>
      </c>
    </row>
    <row r="123" spans="1:6" x14ac:dyDescent="0.25">
      <c r="A123" s="2" t="s">
        <v>1144</v>
      </c>
      <c r="B123" s="1" t="s">
        <v>1145</v>
      </c>
      <c r="C123" s="339">
        <v>6000</v>
      </c>
      <c r="D123" s="2" t="s">
        <v>976</v>
      </c>
      <c r="E123" s="2" t="s">
        <v>977</v>
      </c>
      <c r="F123" s="339">
        <v>188</v>
      </c>
    </row>
    <row r="124" spans="1:6" x14ac:dyDescent="0.25">
      <c r="A124" s="2" t="s">
        <v>1146</v>
      </c>
      <c r="B124" s="1" t="s">
        <v>1147</v>
      </c>
      <c r="C124" s="339">
        <v>52800</v>
      </c>
      <c r="D124" s="2" t="s">
        <v>976</v>
      </c>
      <c r="E124" s="2" t="s">
        <v>977</v>
      </c>
      <c r="F124" s="339">
        <v>288.29</v>
      </c>
    </row>
    <row r="125" spans="1:6" x14ac:dyDescent="0.25">
      <c r="A125" s="2" t="s">
        <v>1148</v>
      </c>
      <c r="B125" s="1" t="s">
        <v>1149</v>
      </c>
      <c r="C125" s="339">
        <v>29000</v>
      </c>
      <c r="D125" s="2" t="s">
        <v>976</v>
      </c>
      <c r="E125" s="2" t="s">
        <v>977</v>
      </c>
      <c r="F125" s="339">
        <v>725</v>
      </c>
    </row>
    <row r="126" spans="1:6" x14ac:dyDescent="0.25">
      <c r="A126" s="2" t="s">
        <v>1150</v>
      </c>
      <c r="B126" s="1" t="s">
        <v>1151</v>
      </c>
      <c r="C126" s="339">
        <v>52000</v>
      </c>
      <c r="D126" s="2" t="s">
        <v>976</v>
      </c>
      <c r="E126" s="2" t="s">
        <v>977</v>
      </c>
      <c r="F126" s="339">
        <v>1820</v>
      </c>
    </row>
    <row r="127" spans="1:6" x14ac:dyDescent="0.25">
      <c r="A127" s="2" t="s">
        <v>1152</v>
      </c>
      <c r="B127" s="1" t="s">
        <v>1153</v>
      </c>
      <c r="C127" s="339">
        <v>16100</v>
      </c>
      <c r="D127" s="2" t="s">
        <v>976</v>
      </c>
      <c r="E127" s="2" t="s">
        <v>977</v>
      </c>
      <c r="F127" s="339">
        <v>977.95</v>
      </c>
    </row>
    <row r="128" spans="1:8" x14ac:dyDescent="0.25">
      <c r="A128" s="2" t="s">
        <v>1154</v>
      </c>
      <c r="B128" s="1" t="s">
        <v>1155</v>
      </c>
      <c r="C128" s="339">
        <v>5300</v>
      </c>
      <c r="D128" s="2" t="s">
        <v>976</v>
      </c>
      <c r="E128" s="2" t="s">
        <v>977</v>
      </c>
      <c r="F128" s="339">
        <v>1325</v>
      </c>
      <c r="H128" s="1">
        <f>F128/C128</f>
        <v>0.25</v>
      </c>
    </row>
    <row r="129" spans="1:6" x14ac:dyDescent="0.25">
      <c r="A129" s="2" t="s">
        <v>1156</v>
      </c>
      <c r="B129" s="1" t="s">
        <v>1157</v>
      </c>
      <c r="C129" s="339">
        <v>20</v>
      </c>
      <c r="D129" s="2" t="s">
        <v>1158</v>
      </c>
      <c r="E129" s="2" t="s">
        <v>977</v>
      </c>
      <c r="F129" s="339">
        <v>580</v>
      </c>
    </row>
    <row r="130" spans="1:6" x14ac:dyDescent="0.25">
      <c r="A130" s="2" t="s">
        <v>1159</v>
      </c>
      <c r="B130" s="1" t="s">
        <v>1160</v>
      </c>
      <c r="C130" s="339">
        <v>32000</v>
      </c>
      <c r="D130" s="2" t="s">
        <v>976</v>
      </c>
      <c r="E130" s="2" t="s">
        <v>977</v>
      </c>
      <c r="F130" s="339">
        <v>432</v>
      </c>
    </row>
    <row r="131" spans="1:8" x14ac:dyDescent="0.25">
      <c r="A131" s="2" t="s">
        <v>583</v>
      </c>
      <c r="B131" s="1" t="s">
        <v>584</v>
      </c>
      <c r="C131" s="339">
        <v>4000</v>
      </c>
      <c r="D131" s="2" t="s">
        <v>976</v>
      </c>
      <c r="E131" s="2" t="s">
        <v>977</v>
      </c>
      <c r="F131" s="339">
        <v>300</v>
      </c>
      <c r="H131" s="1">
        <f>F131/C131</f>
        <v>0.075</v>
      </c>
    </row>
    <row r="132" spans="1:6" x14ac:dyDescent="0.25">
      <c r="A132" s="2" t="s">
        <v>1161</v>
      </c>
      <c r="B132" s="1" t="s">
        <v>1162</v>
      </c>
      <c r="C132" s="339">
        <v>89600</v>
      </c>
      <c r="D132" s="2" t="s">
        <v>976</v>
      </c>
      <c r="E132" s="2" t="s">
        <v>977</v>
      </c>
      <c r="F132" s="339">
        <v>2553.6</v>
      </c>
    </row>
    <row r="133" spans="1:8" x14ac:dyDescent="0.25">
      <c r="A133" s="2" t="s">
        <v>816</v>
      </c>
      <c r="B133" s="1" t="s">
        <v>817</v>
      </c>
      <c r="C133" s="339">
        <v>25000</v>
      </c>
      <c r="D133" s="2" t="s">
        <v>976</v>
      </c>
      <c r="E133" s="2" t="s">
        <v>977</v>
      </c>
      <c r="F133" s="339">
        <v>375</v>
      </c>
      <c r="H133" s="1">
        <f>F133/C133</f>
        <v>0.015</v>
      </c>
    </row>
    <row r="134" spans="1:6" x14ac:dyDescent="0.25">
      <c r="A134" s="2" t="s">
        <v>1163</v>
      </c>
      <c r="B134" s="1" t="s">
        <v>1164</v>
      </c>
      <c r="C134" s="339">
        <v>345000</v>
      </c>
      <c r="D134" s="2" t="s">
        <v>976</v>
      </c>
      <c r="E134" s="2" t="s">
        <v>977</v>
      </c>
      <c r="F134" s="339">
        <v>6015.55</v>
      </c>
    </row>
    <row r="135" spans="1:8" x14ac:dyDescent="0.25">
      <c r="A135" s="2" t="s">
        <v>658</v>
      </c>
      <c r="B135" s="1" t="s">
        <v>659</v>
      </c>
      <c r="C135" s="339">
        <v>493400</v>
      </c>
      <c r="D135" s="2" t="s">
        <v>976</v>
      </c>
      <c r="E135" s="2" t="s">
        <v>977</v>
      </c>
      <c r="F135" s="339">
        <v>10114.7</v>
      </c>
      <c r="H135" s="340">
        <f>F135/C135</f>
        <v>0.0205</v>
      </c>
    </row>
    <row r="136" spans="1:6" x14ac:dyDescent="0.25">
      <c r="A136" s="2" t="s">
        <v>1165</v>
      </c>
      <c r="B136" s="1" t="s">
        <v>1166</v>
      </c>
      <c r="C136" s="339">
        <v>31000</v>
      </c>
      <c r="D136" s="2" t="s">
        <v>976</v>
      </c>
      <c r="E136" s="2" t="s">
        <v>977</v>
      </c>
      <c r="F136" s="339">
        <v>609.77</v>
      </c>
    </row>
    <row r="137" spans="1:6" x14ac:dyDescent="0.25">
      <c r="A137" s="2" t="s">
        <v>1167</v>
      </c>
      <c r="B137" s="1" t="s">
        <v>1168</v>
      </c>
      <c r="C137" s="339">
        <v>23750</v>
      </c>
      <c r="D137" s="2" t="s">
        <v>976</v>
      </c>
      <c r="E137" s="2" t="s">
        <v>977</v>
      </c>
      <c r="F137" s="339">
        <v>467.16</v>
      </c>
    </row>
    <row r="138" spans="1:6" x14ac:dyDescent="0.25">
      <c r="A138" s="2" t="s">
        <v>1169</v>
      </c>
      <c r="B138" s="1" t="s">
        <v>1170</v>
      </c>
      <c r="C138" s="339">
        <v>103000</v>
      </c>
      <c r="D138" s="2" t="s">
        <v>976</v>
      </c>
      <c r="E138" s="2" t="s">
        <v>977</v>
      </c>
      <c r="F138" s="339">
        <v>5150</v>
      </c>
    </row>
    <row r="139" spans="1:6" x14ac:dyDescent="0.25">
      <c r="A139" s="2" t="s">
        <v>1171</v>
      </c>
      <c r="B139" s="1" t="s">
        <v>1172</v>
      </c>
      <c r="C139" s="339">
        <v>30600</v>
      </c>
      <c r="D139" s="2" t="s">
        <v>976</v>
      </c>
      <c r="E139" s="2" t="s">
        <v>977</v>
      </c>
      <c r="F139" s="339">
        <v>1973.7</v>
      </c>
    </row>
    <row r="140" spans="1:6" x14ac:dyDescent="0.25">
      <c r="A140" s="2" t="s">
        <v>1173</v>
      </c>
      <c r="B140" s="1" t="s">
        <v>1174</v>
      </c>
      <c r="C140" s="339">
        <v>155000</v>
      </c>
      <c r="D140" s="2" t="s">
        <v>976</v>
      </c>
      <c r="E140" s="2" t="s">
        <v>977</v>
      </c>
      <c r="F140" s="339">
        <v>3863.8</v>
      </c>
    </row>
    <row r="141" spans="1:6" x14ac:dyDescent="0.25">
      <c r="A141" s="2" t="s">
        <v>1175</v>
      </c>
      <c r="B141" s="1" t="s">
        <v>1176</v>
      </c>
      <c r="C141" s="339">
        <v>326284.8</v>
      </c>
      <c r="D141" s="2" t="s">
        <v>976</v>
      </c>
      <c r="E141" s="2" t="s">
        <v>977</v>
      </c>
      <c r="F141" s="339">
        <v>10767.4</v>
      </c>
    </row>
    <row r="142" spans="1:8" x14ac:dyDescent="0.25">
      <c r="A142" s="2" t="s">
        <v>665</v>
      </c>
      <c r="B142" s="1" t="s">
        <v>666</v>
      </c>
      <c r="C142" s="339">
        <v>22000</v>
      </c>
      <c r="D142" s="2" t="s">
        <v>976</v>
      </c>
      <c r="E142" s="2" t="s">
        <v>977</v>
      </c>
      <c r="F142" s="339">
        <v>1150</v>
      </c>
      <c r="H142" s="1">
        <f>F142/C142</f>
        <v>0.05227272727272727</v>
      </c>
    </row>
    <row r="143" spans="1:6" x14ac:dyDescent="0.25">
      <c r="A143" s="2" t="s">
        <v>1177</v>
      </c>
      <c r="B143" s="1" t="s">
        <v>1178</v>
      </c>
      <c r="C143" s="339">
        <v>2000</v>
      </c>
      <c r="D143" s="2" t="s">
        <v>976</v>
      </c>
      <c r="E143" s="2" t="s">
        <v>977</v>
      </c>
      <c r="F143" s="339">
        <v>150</v>
      </c>
    </row>
    <row r="144" spans="1:6" x14ac:dyDescent="0.25">
      <c r="A144" s="2" t="s">
        <v>1179</v>
      </c>
      <c r="B144" s="1" t="s">
        <v>1180</v>
      </c>
      <c r="C144" s="339">
        <v>12000</v>
      </c>
      <c r="D144" s="2" t="s">
        <v>976</v>
      </c>
      <c r="E144" s="2" t="s">
        <v>977</v>
      </c>
      <c r="F144" s="339">
        <v>216</v>
      </c>
    </row>
    <row r="145" spans="1:9" x14ac:dyDescent="0.25">
      <c r="A145" s="2" t="s">
        <v>1181</v>
      </c>
      <c r="B145" s="1" t="s">
        <v>1182</v>
      </c>
      <c r="C145" s="339">
        <v>16000</v>
      </c>
      <c r="D145" s="2" t="s">
        <v>976</v>
      </c>
      <c r="E145" s="2" t="s">
        <v>977</v>
      </c>
      <c r="F145" s="339">
        <v>800</v>
      </c>
      <c r="I145" s="1">
        <f>+F145/C145</f>
        <v>0.05</v>
      </c>
    </row>
    <row r="146" spans="1:6" x14ac:dyDescent="0.25">
      <c r="A146" s="2" t="s">
        <v>1183</v>
      </c>
      <c r="B146" s="1" t="s">
        <v>1184</v>
      </c>
      <c r="C146" s="339">
        <v>21401</v>
      </c>
      <c r="D146" s="2" t="s">
        <v>976</v>
      </c>
      <c r="E146" s="2" t="s">
        <v>977</v>
      </c>
      <c r="F146" s="339">
        <v>1974.32</v>
      </c>
    </row>
    <row r="147" spans="1:6" x14ac:dyDescent="0.25">
      <c r="A147" s="2" t="s">
        <v>1185</v>
      </c>
      <c r="B147" s="1" t="s">
        <v>1186</v>
      </c>
      <c r="C147" s="339">
        <v>2000</v>
      </c>
      <c r="D147" s="2" t="s">
        <v>976</v>
      </c>
      <c r="E147" s="2" t="s">
        <v>977</v>
      </c>
      <c r="F147" s="339">
        <v>150</v>
      </c>
    </row>
    <row r="148" spans="1:6" x14ac:dyDescent="0.25">
      <c r="A148" s="2" t="s">
        <v>1187</v>
      </c>
      <c r="B148" s="1" t="s">
        <v>1188</v>
      </c>
      <c r="C148" s="339">
        <v>2000</v>
      </c>
      <c r="D148" s="2" t="s">
        <v>976</v>
      </c>
      <c r="E148" s="2" t="s">
        <v>977</v>
      </c>
      <c r="F148" s="339">
        <v>150</v>
      </c>
    </row>
    <row r="149" spans="1:8" x14ac:dyDescent="0.25">
      <c r="A149" s="2" t="s">
        <v>1189</v>
      </c>
      <c r="B149" s="1" t="s">
        <v>1190</v>
      </c>
      <c r="C149" s="339">
        <v>399930</v>
      </c>
      <c r="D149" s="2" t="s">
        <v>976</v>
      </c>
      <c r="E149" s="2" t="s">
        <v>977</v>
      </c>
      <c r="F149" s="339">
        <v>6988.83</v>
      </c>
      <c r="H149" s="343">
        <f>+F149/C149</f>
        <v>0.01747513314830095</v>
      </c>
    </row>
    <row r="150" spans="1:8" x14ac:dyDescent="0.25">
      <c r="A150" s="2" t="s">
        <v>1191</v>
      </c>
      <c r="B150" s="1" t="s">
        <v>1192</v>
      </c>
      <c r="C150" s="339">
        <v>27200</v>
      </c>
      <c r="D150" s="2" t="s">
        <v>976</v>
      </c>
      <c r="E150" s="2" t="s">
        <v>977</v>
      </c>
      <c r="F150" s="339">
        <v>2565.64</v>
      </c>
      <c r="H150" s="343">
        <f>F150/C150</f>
        <v>0.09432499999999999</v>
      </c>
    </row>
    <row r="151" spans="1:6" x14ac:dyDescent="0.25">
      <c r="A151" s="2" t="s">
        <v>1193</v>
      </c>
      <c r="B151" s="1" t="s">
        <v>1194</v>
      </c>
      <c r="C151" s="339">
        <v>45900</v>
      </c>
      <c r="D151" s="2" t="s">
        <v>976</v>
      </c>
      <c r="E151" s="2" t="s">
        <v>977</v>
      </c>
      <c r="F151" s="339">
        <v>4498.2</v>
      </c>
    </row>
    <row r="152" spans="1:8" x14ac:dyDescent="0.25">
      <c r="A152" s="2" t="s">
        <v>1195</v>
      </c>
      <c r="B152" s="1" t="s">
        <v>1196</v>
      </c>
      <c r="C152" s="339">
        <v>33200</v>
      </c>
      <c r="D152" s="2" t="s">
        <v>976</v>
      </c>
      <c r="E152" s="2" t="s">
        <v>977</v>
      </c>
      <c r="F152" s="339">
        <v>3153.64</v>
      </c>
      <c r="H152" s="343">
        <f t="shared" ref="H152:H158" si="1">F152/C152</f>
        <v>0.09498915662650602</v>
      </c>
    </row>
    <row r="153" spans="1:8" x14ac:dyDescent="0.25">
      <c r="A153" s="2" t="s">
        <v>1197</v>
      </c>
      <c r="B153" s="1" t="s">
        <v>1198</v>
      </c>
      <c r="C153" s="339">
        <v>23800</v>
      </c>
      <c r="D153" s="2" t="s">
        <v>976</v>
      </c>
      <c r="E153" s="2" t="s">
        <v>977</v>
      </c>
      <c r="F153" s="339">
        <v>2332.4</v>
      </c>
      <c r="H153" s="343">
        <v>0.098</v>
      </c>
    </row>
    <row r="154" spans="1:8" x14ac:dyDescent="0.25">
      <c r="A154" s="2" t="s">
        <v>1199</v>
      </c>
      <c r="B154" s="1" t="s">
        <v>1200</v>
      </c>
      <c r="C154" s="339">
        <v>5100</v>
      </c>
      <c r="D154" s="2" t="s">
        <v>976</v>
      </c>
      <c r="E154" s="2" t="s">
        <v>977</v>
      </c>
      <c r="F154" s="339">
        <v>499.8</v>
      </c>
      <c r="H154" s="343">
        <v>0.098</v>
      </c>
    </row>
    <row r="155" spans="1:8" x14ac:dyDescent="0.25">
      <c r="A155" s="2" t="s">
        <v>1201</v>
      </c>
      <c r="B155" s="1" t="s">
        <v>1202</v>
      </c>
      <c r="C155" s="339">
        <v>36650</v>
      </c>
      <c r="D155" s="2" t="s">
        <v>976</v>
      </c>
      <c r="E155" s="2" t="s">
        <v>977</v>
      </c>
      <c r="F155" s="339">
        <v>3441.76</v>
      </c>
      <c r="H155" s="343">
        <v>0.09390886766712142</v>
      </c>
    </row>
    <row r="156" spans="1:8" x14ac:dyDescent="0.25">
      <c r="A156" s="2" t="s">
        <v>874</v>
      </c>
      <c r="B156" s="1" t="s">
        <v>875</v>
      </c>
      <c r="C156" s="339">
        <v>10200</v>
      </c>
      <c r="D156" s="2" t="s">
        <v>976</v>
      </c>
      <c r="E156" s="2" t="s">
        <v>977</v>
      </c>
      <c r="F156" s="339">
        <v>949.62</v>
      </c>
      <c r="H156" s="1">
        <v>0.0931</v>
      </c>
    </row>
    <row r="157" spans="1:8" x14ac:dyDescent="0.25">
      <c r="A157" s="2" t="s">
        <v>1203</v>
      </c>
      <c r="B157" s="1" t="s">
        <v>1204</v>
      </c>
      <c r="C157" s="339">
        <v>8500</v>
      </c>
      <c r="D157" s="2" t="s">
        <v>976</v>
      </c>
      <c r="E157" s="2" t="s">
        <v>977</v>
      </c>
      <c r="F157" s="339">
        <v>833</v>
      </c>
      <c r="H157" s="343">
        <v>0.098</v>
      </c>
    </row>
    <row r="158" spans="1:8" x14ac:dyDescent="0.25">
      <c r="A158" s="2" t="s">
        <v>894</v>
      </c>
      <c r="B158" s="1" t="s">
        <v>895</v>
      </c>
      <c r="C158" s="339">
        <v>12325</v>
      </c>
      <c r="D158" s="2" t="s">
        <v>976</v>
      </c>
      <c r="E158" s="2" t="s">
        <v>977</v>
      </c>
      <c r="F158" s="339">
        <v>1207.85</v>
      </c>
      <c r="H158" s="1">
        <v>0.09799999999999999</v>
      </c>
    </row>
    <row r="159" spans="1:6" x14ac:dyDescent="0.25">
      <c r="A159" s="2" t="s">
        <v>1205</v>
      </c>
      <c r="B159" s="1" t="s">
        <v>1206</v>
      </c>
      <c r="C159" s="339">
        <v>23800</v>
      </c>
      <c r="D159" s="2" t="s">
        <v>976</v>
      </c>
      <c r="E159" s="2" t="s">
        <v>977</v>
      </c>
      <c r="F159" s="339">
        <v>2232.44</v>
      </c>
    </row>
    <row r="160" spans="1:8" x14ac:dyDescent="0.25">
      <c r="A160" s="2" t="s">
        <v>934</v>
      </c>
      <c r="B160" s="1" t="s">
        <v>935</v>
      </c>
      <c r="C160" s="339">
        <v>15300</v>
      </c>
      <c r="D160" s="2" t="s">
        <v>976</v>
      </c>
      <c r="E160" s="2" t="s">
        <v>977</v>
      </c>
      <c r="F160" s="339">
        <v>1499.4</v>
      </c>
      <c r="H160" s="1">
        <f t="shared" ref="H160:H167" si="2">F160/C160</f>
        <v>0.098</v>
      </c>
    </row>
    <row r="161" spans="1:8" x14ac:dyDescent="0.25">
      <c r="A161" s="2" t="s">
        <v>1207</v>
      </c>
      <c r="B161" s="1" t="s">
        <v>1208</v>
      </c>
      <c r="C161" s="339">
        <v>5100</v>
      </c>
      <c r="D161" s="2" t="s">
        <v>976</v>
      </c>
      <c r="E161" s="2" t="s">
        <v>977</v>
      </c>
      <c r="F161" s="339">
        <v>499.8</v>
      </c>
      <c r="H161" s="343">
        <v>0.098</v>
      </c>
    </row>
    <row r="162" spans="1:8" x14ac:dyDescent="0.25">
      <c r="A162" s="2" t="s">
        <v>710</v>
      </c>
      <c r="B162" s="1" t="s">
        <v>711</v>
      </c>
      <c r="C162" s="339">
        <v>34425</v>
      </c>
      <c r="D162" s="2" t="s">
        <v>976</v>
      </c>
      <c r="E162" s="2" t="s">
        <v>977</v>
      </c>
      <c r="F162" s="339">
        <v>3003.9</v>
      </c>
      <c r="H162" s="343">
        <v>0.08725925925925926</v>
      </c>
    </row>
    <row r="163" spans="1:8" x14ac:dyDescent="0.25">
      <c r="A163" s="2" t="s">
        <v>1209</v>
      </c>
      <c r="B163" s="1" t="s">
        <v>1210</v>
      </c>
      <c r="C163" s="339">
        <v>33200</v>
      </c>
      <c r="D163" s="2" t="s">
        <v>976</v>
      </c>
      <c r="E163" s="2" t="s">
        <v>977</v>
      </c>
      <c r="F163" s="339">
        <v>3103.66</v>
      </c>
      <c r="H163" s="343">
        <v>0.09348373493975903</v>
      </c>
    </row>
    <row r="164" spans="1:8" x14ac:dyDescent="0.25">
      <c r="A164" s="2" t="s">
        <v>1211</v>
      </c>
      <c r="B164" s="1" t="s">
        <v>1212</v>
      </c>
      <c r="C164" s="339">
        <v>6800</v>
      </c>
      <c r="D164" s="2" t="s">
        <v>976</v>
      </c>
      <c r="E164" s="2" t="s">
        <v>977</v>
      </c>
      <c r="F164" s="339">
        <v>666.4</v>
      </c>
      <c r="H164" s="343">
        <v>0.09799999999999999</v>
      </c>
    </row>
    <row r="165" spans="1:8" x14ac:dyDescent="0.25">
      <c r="A165" s="2" t="s">
        <v>1213</v>
      </c>
      <c r="B165" s="1" t="s">
        <v>1214</v>
      </c>
      <c r="C165" s="339">
        <v>10200</v>
      </c>
      <c r="D165" s="2" t="s">
        <v>976</v>
      </c>
      <c r="E165" s="2" t="s">
        <v>977</v>
      </c>
      <c r="F165" s="339">
        <v>999.6</v>
      </c>
      <c r="G165" s="42"/>
      <c r="H165" s="343">
        <v>0.098</v>
      </c>
    </row>
    <row r="166" spans="1:8" x14ac:dyDescent="0.25">
      <c r="A166" s="2" t="s">
        <v>1215</v>
      </c>
      <c r="B166" s="1" t="s">
        <v>1216</v>
      </c>
      <c r="C166" s="339">
        <v>49300</v>
      </c>
      <c r="D166" s="2" t="s">
        <v>976</v>
      </c>
      <c r="E166" s="2" t="s">
        <v>977</v>
      </c>
      <c r="F166" s="339">
        <v>4631.48</v>
      </c>
      <c r="H166" s="343">
        <v>0.09394482758620688</v>
      </c>
    </row>
    <row r="167" spans="1:8" x14ac:dyDescent="0.25">
      <c r="A167" s="2" t="s">
        <v>1217</v>
      </c>
      <c r="B167" s="1" t="s">
        <v>1218</v>
      </c>
      <c r="C167" s="339">
        <v>158225</v>
      </c>
      <c r="D167" s="2" t="s">
        <v>976</v>
      </c>
      <c r="E167" s="2" t="s">
        <v>977</v>
      </c>
      <c r="F167" s="339">
        <v>6713.56</v>
      </c>
      <c r="H167" s="343">
        <v>0.042430462948333074</v>
      </c>
    </row>
    <row r="168" spans="1:6" x14ac:dyDescent="0.25">
      <c r="A168" s="2" t="s">
        <v>1219</v>
      </c>
      <c r="B168" s="1" t="s">
        <v>1220</v>
      </c>
      <c r="C168" s="339">
        <v>12000</v>
      </c>
      <c r="D168" s="2" t="s">
        <v>976</v>
      </c>
      <c r="E168" s="2" t="s">
        <v>977</v>
      </c>
      <c r="F168" s="339">
        <v>360</v>
      </c>
    </row>
    <row r="169" spans="1:6" x14ac:dyDescent="0.25">
      <c r="A169" s="2" t="s">
        <v>1221</v>
      </c>
      <c r="B169" s="1" t="s">
        <v>1222</v>
      </c>
      <c r="C169" s="339">
        <v>60000</v>
      </c>
      <c r="D169" s="2" t="s">
        <v>976</v>
      </c>
      <c r="E169" s="2" t="s">
        <v>977</v>
      </c>
      <c r="F169" s="339">
        <v>2100</v>
      </c>
    </row>
    <row r="170" spans="1:6" x14ac:dyDescent="0.25">
      <c r="A170" s="2" t="s">
        <v>1223</v>
      </c>
      <c r="B170" s="1" t="s">
        <v>1224</v>
      </c>
      <c r="C170" s="339">
        <v>28000</v>
      </c>
      <c r="D170" s="2" t="s">
        <v>976</v>
      </c>
      <c r="E170" s="2" t="s">
        <v>977</v>
      </c>
      <c r="F170" s="339">
        <v>1400</v>
      </c>
    </row>
    <row r="171" spans="1:6" x14ac:dyDescent="0.25">
      <c r="A171" s="2" t="s">
        <v>1225</v>
      </c>
      <c r="B171" s="1" t="s">
        <v>1226</v>
      </c>
      <c r="C171" s="339">
        <v>61000</v>
      </c>
      <c r="D171" s="2" t="s">
        <v>976</v>
      </c>
      <c r="E171" s="2" t="s">
        <v>977</v>
      </c>
      <c r="F171" s="339">
        <v>2806</v>
      </c>
    </row>
    <row r="172" spans="1:6" x14ac:dyDescent="0.25">
      <c r="A172" s="2" t="s">
        <v>1227</v>
      </c>
      <c r="B172" s="1" t="s">
        <v>1228</v>
      </c>
      <c r="C172" s="339">
        <v>185250</v>
      </c>
      <c r="D172" s="2" t="s">
        <v>976</v>
      </c>
      <c r="E172" s="2" t="s">
        <v>977</v>
      </c>
      <c r="F172" s="339">
        <v>5343.88</v>
      </c>
    </row>
    <row r="173" spans="1:6" x14ac:dyDescent="0.25">
      <c r="A173" s="2" t="s">
        <v>1229</v>
      </c>
      <c r="B173" s="1" t="s">
        <v>1230</v>
      </c>
      <c r="C173" s="339">
        <v>26000</v>
      </c>
      <c r="D173" s="2" t="s">
        <v>976</v>
      </c>
      <c r="E173" s="2" t="s">
        <v>977</v>
      </c>
      <c r="F173" s="339">
        <v>895.44</v>
      </c>
    </row>
    <row r="174" spans="1:6" x14ac:dyDescent="0.25">
      <c r="A174" s="2" t="s">
        <v>1231</v>
      </c>
      <c r="B174" s="1" t="s">
        <v>1232</v>
      </c>
      <c r="C174" s="339">
        <v>100000</v>
      </c>
      <c r="D174" s="2" t="s">
        <v>976</v>
      </c>
      <c r="E174" s="2" t="s">
        <v>977</v>
      </c>
      <c r="F174" s="339">
        <v>3800</v>
      </c>
    </row>
    <row r="175" spans="1:8" x14ac:dyDescent="0.25">
      <c r="A175" s="2" t="s">
        <v>799</v>
      </c>
      <c r="B175" s="1" t="s">
        <v>800</v>
      </c>
      <c r="C175" s="339">
        <v>48000</v>
      </c>
      <c r="D175" s="2" t="s">
        <v>976</v>
      </c>
      <c r="E175" s="2" t="s">
        <v>977</v>
      </c>
      <c r="F175" s="339">
        <v>336</v>
      </c>
      <c r="H175" s="1">
        <f>F175/C175</f>
        <v>0.007</v>
      </c>
    </row>
    <row r="176" spans="1:8" x14ac:dyDescent="0.25">
      <c r="A176" s="2" t="s">
        <v>608</v>
      </c>
      <c r="B176" s="1" t="s">
        <v>609</v>
      </c>
      <c r="C176" s="339">
        <v>40000</v>
      </c>
      <c r="D176" s="2" t="s">
        <v>976</v>
      </c>
      <c r="E176" s="2" t="s">
        <v>977</v>
      </c>
      <c r="F176" s="339">
        <v>2160</v>
      </c>
      <c r="H176" s="1">
        <f>F176/C176</f>
        <v>0.054</v>
      </c>
    </row>
    <row r="177" spans="1:8" x14ac:dyDescent="0.25">
      <c r="A177" s="2" t="s">
        <v>929</v>
      </c>
      <c r="B177" s="1" t="s">
        <v>930</v>
      </c>
      <c r="C177" s="339">
        <v>10200</v>
      </c>
      <c r="D177" s="2" t="s">
        <v>976</v>
      </c>
      <c r="E177" s="2" t="s">
        <v>977</v>
      </c>
      <c r="F177" s="339">
        <v>999.67</v>
      </c>
      <c r="H177" s="340">
        <f>F177/C177</f>
        <v>0.09800686274509804</v>
      </c>
    </row>
    <row r="178" spans="1:8" x14ac:dyDescent="0.25">
      <c r="A178" s="2" t="s">
        <v>919</v>
      </c>
      <c r="B178" s="1" t="s">
        <v>920</v>
      </c>
      <c r="C178" s="339">
        <v>17850</v>
      </c>
      <c r="D178" s="2" t="s">
        <v>976</v>
      </c>
      <c r="E178" s="2" t="s">
        <v>977</v>
      </c>
      <c r="F178" s="339">
        <v>1749.3</v>
      </c>
      <c r="H178" s="1">
        <f>F178/C178</f>
        <v>0.098</v>
      </c>
    </row>
    <row r="179" spans="1:6" x14ac:dyDescent="0.25">
      <c r="A179" s="2" t="s">
        <v>1233</v>
      </c>
      <c r="B179" s="1" t="s">
        <v>1234</v>
      </c>
      <c r="C179" s="339">
        <v>19000</v>
      </c>
      <c r="D179" s="2" t="s">
        <v>976</v>
      </c>
      <c r="E179" s="2" t="s">
        <v>977</v>
      </c>
      <c r="F179" s="339">
        <v>657</v>
      </c>
    </row>
    <row r="180" spans="1:6" x14ac:dyDescent="0.25">
      <c r="A180" s="2" t="s">
        <v>1235</v>
      </c>
      <c r="B180" s="1" t="s">
        <v>1236</v>
      </c>
      <c r="C180" s="339">
        <v>8750</v>
      </c>
      <c r="D180" s="2" t="s">
        <v>976</v>
      </c>
      <c r="E180" s="2" t="s">
        <v>977</v>
      </c>
      <c r="F180" s="339">
        <v>392</v>
      </c>
    </row>
    <row r="181" spans="1:8" x14ac:dyDescent="0.25">
      <c r="A181" s="2" t="s">
        <v>581</v>
      </c>
      <c r="B181" s="1" t="s">
        <v>582</v>
      </c>
      <c r="C181" s="339">
        <v>18700</v>
      </c>
      <c r="D181" s="2" t="s">
        <v>976</v>
      </c>
      <c r="E181" s="2" t="s">
        <v>977</v>
      </c>
      <c r="F181" s="339">
        <v>1832.6</v>
      </c>
      <c r="H181" s="1">
        <f>F181/C181</f>
        <v>0.09799999999999999</v>
      </c>
    </row>
    <row r="182" spans="1:8" x14ac:dyDescent="0.25">
      <c r="A182" s="2" t="s">
        <v>901</v>
      </c>
      <c r="B182" s="1" t="s">
        <v>902</v>
      </c>
      <c r="C182" s="339">
        <v>5950</v>
      </c>
      <c r="D182" s="2" t="s">
        <v>976</v>
      </c>
      <c r="E182" s="2" t="s">
        <v>977</v>
      </c>
      <c r="F182" s="339">
        <v>583.1</v>
      </c>
      <c r="H182" s="1">
        <f>F182/C182</f>
        <v>0.098</v>
      </c>
    </row>
    <row r="183" spans="1:8" x14ac:dyDescent="0.25">
      <c r="A183" s="2" t="s">
        <v>663</v>
      </c>
      <c r="B183" s="1" t="s">
        <v>664</v>
      </c>
      <c r="C183" s="339">
        <v>53100</v>
      </c>
      <c r="D183" s="2" t="s">
        <v>976</v>
      </c>
      <c r="E183" s="2" t="s">
        <v>977</v>
      </c>
      <c r="F183" s="339">
        <v>4987.22</v>
      </c>
      <c r="H183" s="340">
        <f>F183/C183</f>
        <v>0.09392128060263653</v>
      </c>
    </row>
    <row r="184" spans="1:8" x14ac:dyDescent="0.25">
      <c r="A184" s="2" t="s">
        <v>1237</v>
      </c>
      <c r="B184" s="1" t="s">
        <v>1238</v>
      </c>
      <c r="C184" s="339">
        <v>71400</v>
      </c>
      <c r="D184" s="2" t="s">
        <v>976</v>
      </c>
      <c r="E184" s="2" t="s">
        <v>977</v>
      </c>
      <c r="F184" s="339">
        <v>6514.06</v>
      </c>
      <c r="H184" s="1">
        <f>F184/C184</f>
        <v>0.09123333333333333</v>
      </c>
    </row>
    <row r="185" spans="1:8" x14ac:dyDescent="0.25">
      <c r="A185" s="2" t="s">
        <v>922</v>
      </c>
      <c r="B185" s="1" t="s">
        <v>923</v>
      </c>
      <c r="C185" s="339">
        <v>13600</v>
      </c>
      <c r="D185" s="2" t="s">
        <v>976</v>
      </c>
      <c r="E185" s="2" t="s">
        <v>977</v>
      </c>
      <c r="F185" s="339">
        <v>1332.8</v>
      </c>
      <c r="H185" s="1">
        <f>F185/C185</f>
        <v>0.09799999999999999</v>
      </c>
    </row>
    <row r="186" spans="1:8" x14ac:dyDescent="0.25">
      <c r="A186" s="2" t="s">
        <v>1239</v>
      </c>
      <c r="B186" s="1" t="s">
        <v>1240</v>
      </c>
      <c r="C186" s="339">
        <v>108900</v>
      </c>
      <c r="D186" s="2" t="s">
        <v>976</v>
      </c>
      <c r="E186" s="2" t="s">
        <v>977</v>
      </c>
      <c r="F186" s="339">
        <v>9989.14</v>
      </c>
      <c r="H186" s="1">
        <f>+F186/C186</f>
        <v>0.09172764003673094</v>
      </c>
    </row>
    <row r="187" spans="1:8" x14ac:dyDescent="0.25">
      <c r="A187" s="2" t="s">
        <v>1241</v>
      </c>
      <c r="B187" s="1" t="s">
        <v>1242</v>
      </c>
      <c r="C187" s="339">
        <v>78625</v>
      </c>
      <c r="D187" s="2" t="s">
        <v>976</v>
      </c>
      <c r="E187" s="2" t="s">
        <v>977</v>
      </c>
      <c r="F187" s="339">
        <v>7305.41</v>
      </c>
      <c r="H187" s="1">
        <f>F187/C187</f>
        <v>0.0929145945945946</v>
      </c>
    </row>
    <row r="188" spans="1:8" x14ac:dyDescent="0.25">
      <c r="A188" s="2" t="s">
        <v>881</v>
      </c>
      <c r="B188" s="1" t="s">
        <v>882</v>
      </c>
      <c r="C188" s="339">
        <v>72250</v>
      </c>
      <c r="D188" s="2" t="s">
        <v>976</v>
      </c>
      <c r="E188" s="2" t="s">
        <v>977</v>
      </c>
      <c r="F188" s="339">
        <v>6580.7</v>
      </c>
      <c r="H188" s="1">
        <f>F188/C188</f>
        <v>0.09108235294117646</v>
      </c>
    </row>
    <row r="189" spans="1:8" x14ac:dyDescent="0.25">
      <c r="A189" s="2" t="s">
        <v>708</v>
      </c>
      <c r="B189" s="1" t="s">
        <v>709</v>
      </c>
      <c r="C189" s="339">
        <v>37400</v>
      </c>
      <c r="D189" s="2" t="s">
        <v>976</v>
      </c>
      <c r="E189" s="2" t="s">
        <v>977</v>
      </c>
      <c r="F189" s="339">
        <v>3000.16</v>
      </c>
      <c r="H189" s="340">
        <f>F189/C189</f>
        <v>0.08021818181818181</v>
      </c>
    </row>
    <row r="190" spans="1:8" x14ac:dyDescent="0.25">
      <c r="A190" s="2" t="s">
        <v>1243</v>
      </c>
      <c r="B190" s="1" t="s">
        <v>1244</v>
      </c>
      <c r="C190" s="339">
        <v>14200</v>
      </c>
      <c r="D190" s="2" t="s">
        <v>976</v>
      </c>
      <c r="E190" s="2" t="s">
        <v>977</v>
      </c>
      <c r="F190" s="339">
        <v>738.4</v>
      </c>
      <c r="H190" s="1">
        <f>F190/C190</f>
        <v>0.052</v>
      </c>
    </row>
    <row r="191" spans="1:6" x14ac:dyDescent="0.25">
      <c r="A191" s="2" t="s">
        <v>1245</v>
      </c>
      <c r="B191" s="1" t="s">
        <v>1246</v>
      </c>
      <c r="C191" s="339">
        <v>50000</v>
      </c>
      <c r="D191" s="2" t="s">
        <v>976</v>
      </c>
      <c r="E191" s="2" t="s">
        <v>977</v>
      </c>
      <c r="F191" s="339">
        <v>2300</v>
      </c>
    </row>
    <row r="192" spans="1:6" x14ac:dyDescent="0.25">
      <c r="A192" s="2" t="s">
        <v>1247</v>
      </c>
      <c r="B192" s="1" t="s">
        <v>1248</v>
      </c>
      <c r="C192" s="339">
        <v>87480</v>
      </c>
      <c r="D192" s="2" t="s">
        <v>976</v>
      </c>
      <c r="E192" s="2" t="s">
        <v>977</v>
      </c>
      <c r="F192" s="339">
        <v>3324.24</v>
      </c>
    </row>
    <row r="193" spans="1:6" x14ac:dyDescent="0.25">
      <c r="A193" s="2" t="s">
        <v>1249</v>
      </c>
      <c r="B193" s="1" t="s">
        <v>1250</v>
      </c>
      <c r="C193" s="339">
        <v>12000</v>
      </c>
      <c r="D193" s="2" t="s">
        <v>976</v>
      </c>
      <c r="E193" s="2" t="s">
        <v>977</v>
      </c>
      <c r="F193" s="339">
        <v>648</v>
      </c>
    </row>
    <row r="194" spans="1:8" x14ac:dyDescent="0.25">
      <c r="A194" s="2" t="s">
        <v>675</v>
      </c>
      <c r="B194" s="1" t="s">
        <v>676</v>
      </c>
      <c r="C194" s="339">
        <v>12400</v>
      </c>
      <c r="D194" s="2" t="s">
        <v>976</v>
      </c>
      <c r="E194" s="2" t="s">
        <v>977</v>
      </c>
      <c r="F194" s="339">
        <v>2480</v>
      </c>
      <c r="H194" s="340">
        <f>F194/C194</f>
        <v>0.2</v>
      </c>
    </row>
    <row r="195" spans="1:6" x14ac:dyDescent="0.25">
      <c r="A195" s="2" t="s">
        <v>1251</v>
      </c>
      <c r="B195" s="1" t="s">
        <v>1252</v>
      </c>
      <c r="C195" s="339">
        <v>17000</v>
      </c>
      <c r="D195" s="2" t="s">
        <v>976</v>
      </c>
      <c r="E195" s="2" t="s">
        <v>977</v>
      </c>
      <c r="F195" s="339">
        <v>1065</v>
      </c>
    </row>
    <row r="196" spans="1:8" x14ac:dyDescent="0.25">
      <c r="A196" s="2" t="s">
        <v>1253</v>
      </c>
      <c r="B196" s="1" t="s">
        <v>1254</v>
      </c>
      <c r="C196" s="339">
        <v>9350</v>
      </c>
      <c r="D196" s="2" t="s">
        <v>976</v>
      </c>
      <c r="E196" s="2" t="s">
        <v>977</v>
      </c>
      <c r="F196" s="339">
        <v>1952.5</v>
      </c>
      <c r="H196" s="340">
        <f>F196/C196</f>
        <v>0.2088235294117647</v>
      </c>
    </row>
    <row r="197" spans="1:8" x14ac:dyDescent="0.25">
      <c r="A197" s="2" t="s">
        <v>606</v>
      </c>
      <c r="B197" s="1" t="s">
        <v>607</v>
      </c>
      <c r="C197" s="339">
        <v>42500</v>
      </c>
      <c r="D197" s="2" t="s">
        <v>976</v>
      </c>
      <c r="E197" s="2" t="s">
        <v>977</v>
      </c>
      <c r="F197" s="339">
        <v>6180</v>
      </c>
      <c r="H197" s="340">
        <f>F197/C197</f>
        <v>0.14541176470588235</v>
      </c>
    </row>
    <row r="198" spans="1:8" x14ac:dyDescent="0.25">
      <c r="A198" s="2" t="s">
        <v>915</v>
      </c>
      <c r="B198" s="1" t="s">
        <v>916</v>
      </c>
      <c r="C198" s="339">
        <v>28420</v>
      </c>
      <c r="D198" s="2" t="s">
        <v>976</v>
      </c>
      <c r="E198" s="2" t="s">
        <v>977</v>
      </c>
      <c r="F198" s="339">
        <v>27814</v>
      </c>
      <c r="H198" s="340">
        <f>F198/C198</f>
        <v>0.978676988036594</v>
      </c>
    </row>
    <row r="199" spans="1:6" x14ac:dyDescent="0.25">
      <c r="A199" s="2" t="s">
        <v>1255</v>
      </c>
      <c r="B199" s="1" t="s">
        <v>1256</v>
      </c>
      <c r="C199" s="339">
        <v>10</v>
      </c>
      <c r="D199" s="2" t="s">
        <v>1257</v>
      </c>
      <c r="E199" s="2" t="s">
        <v>1063</v>
      </c>
      <c r="F199" s="339">
        <v>952.8</v>
      </c>
    </row>
    <row r="200" spans="1:6" x14ac:dyDescent="0.25">
      <c r="A200" s="2" t="s">
        <v>1255</v>
      </c>
      <c r="B200" s="1" t="s">
        <v>1256</v>
      </c>
      <c r="C200" s="339">
        <v>236</v>
      </c>
      <c r="D200" s="2" t="s">
        <v>1257</v>
      </c>
      <c r="E200" s="2" t="s">
        <v>977</v>
      </c>
      <c r="F200" s="339">
        <v>58.53</v>
      </c>
    </row>
    <row r="201" spans="1:6" x14ac:dyDescent="0.25">
      <c r="A201" s="2" t="s">
        <v>1258</v>
      </c>
      <c r="B201" s="1" t="s">
        <v>1259</v>
      </c>
      <c r="C201" s="339">
        <v>528</v>
      </c>
      <c r="D201" s="2" t="s">
        <v>980</v>
      </c>
      <c r="E201" s="2" t="s">
        <v>977</v>
      </c>
      <c r="F201" s="339">
        <v>3801.6</v>
      </c>
    </row>
    <row r="202" spans="1:9" x14ac:dyDescent="0.25">
      <c r="A202" s="2" t="s">
        <v>1260</v>
      </c>
      <c r="B202" s="1" t="s">
        <v>1261</v>
      </c>
      <c r="C202" s="339">
        <v>692</v>
      </c>
      <c r="D202" s="2" t="s">
        <v>976</v>
      </c>
      <c r="E202" s="2" t="s">
        <v>977</v>
      </c>
      <c r="F202" s="339">
        <v>3114</v>
      </c>
      <c r="H202" s="1">
        <f>+F202/C202</f>
        <v>4.5</v>
      </c>
      <c r="I202" s="1">
        <f>+H202/8</f>
        <v>0.5625</v>
      </c>
    </row>
    <row r="203" spans="1:6" x14ac:dyDescent="0.25">
      <c r="A203" s="2" t="s">
        <v>1262</v>
      </c>
      <c r="B203" s="1" t="s">
        <v>1263</v>
      </c>
      <c r="C203" s="339">
        <v>607.1</v>
      </c>
      <c r="D203" s="2" t="s">
        <v>976</v>
      </c>
      <c r="E203" s="2" t="s">
        <v>977</v>
      </c>
      <c r="F203" s="339">
        <v>2489.11</v>
      </c>
    </row>
    <row r="204" spans="1:6" x14ac:dyDescent="0.25">
      <c r="A204" s="2" t="s">
        <v>1264</v>
      </c>
      <c r="B204" s="1" t="s">
        <v>1265</v>
      </c>
      <c r="C204" s="339">
        <v>113</v>
      </c>
      <c r="D204" s="2" t="s">
        <v>980</v>
      </c>
      <c r="E204" s="2" t="s">
        <v>977</v>
      </c>
      <c r="F204" s="339">
        <v>483.45</v>
      </c>
    </row>
    <row r="205" spans="1:6" x14ac:dyDescent="0.25">
      <c r="A205" s="2" t="s">
        <v>1266</v>
      </c>
      <c r="B205" s="1" t="s">
        <v>1267</v>
      </c>
      <c r="C205" s="339">
        <v>69</v>
      </c>
      <c r="D205" s="2" t="s">
        <v>976</v>
      </c>
      <c r="E205" s="2" t="s">
        <v>977</v>
      </c>
      <c r="F205" s="339">
        <v>3381</v>
      </c>
    </row>
    <row r="206" spans="1:6" x14ac:dyDescent="0.25">
      <c r="A206" s="2" t="s">
        <v>1268</v>
      </c>
      <c r="B206" s="1" t="s">
        <v>1269</v>
      </c>
      <c r="C206" s="339">
        <v>669.6</v>
      </c>
      <c r="D206" s="2" t="s">
        <v>1257</v>
      </c>
      <c r="E206" s="2" t="s">
        <v>977</v>
      </c>
      <c r="F206" s="339">
        <v>166.06</v>
      </c>
    </row>
    <row r="207" spans="1:6" x14ac:dyDescent="0.25">
      <c r="A207" s="2" t="s">
        <v>1270</v>
      </c>
      <c r="B207" s="1" t="s">
        <v>1271</v>
      </c>
      <c r="C207" s="339">
        <v>7700</v>
      </c>
      <c r="D207" s="2" t="s">
        <v>976</v>
      </c>
      <c r="E207" s="2" t="s">
        <v>977</v>
      </c>
      <c r="F207" s="339">
        <v>4389</v>
      </c>
    </row>
    <row r="208" spans="1:9" x14ac:dyDescent="0.25">
      <c r="A208" s="2" t="s">
        <v>1272</v>
      </c>
      <c r="B208" s="1" t="s">
        <v>600</v>
      </c>
      <c r="C208" s="339">
        <v>3891.54</v>
      </c>
      <c r="D208" s="2" t="s">
        <v>980</v>
      </c>
      <c r="E208" s="2" t="s">
        <v>977</v>
      </c>
      <c r="F208" s="339">
        <v>31141.43</v>
      </c>
      <c r="H208" s="340">
        <f>+F208/C208</f>
        <v>8.002340975552094</v>
      </c>
      <c r="I208" s="340">
        <f>+H208/180</f>
        <v>0.0444574498641783</v>
      </c>
    </row>
    <row r="209" spans="1:6" x14ac:dyDescent="0.25">
      <c r="A209" s="2" t="s">
        <v>1273</v>
      </c>
      <c r="B209" s="1" t="s">
        <v>1274</v>
      </c>
      <c r="C209" s="339">
        <v>5040</v>
      </c>
      <c r="D209" s="2" t="s">
        <v>976</v>
      </c>
      <c r="E209" s="2" t="s">
        <v>977</v>
      </c>
      <c r="F209" s="339">
        <v>3780</v>
      </c>
    </row>
    <row r="210" spans="1:8" x14ac:dyDescent="0.25">
      <c r="A210" s="2" t="s">
        <v>1275</v>
      </c>
      <c r="B210" s="1" t="s">
        <v>1276</v>
      </c>
      <c r="C210" s="339">
        <v>15110</v>
      </c>
      <c r="D210" s="2" t="s">
        <v>976</v>
      </c>
      <c r="E210" s="2" t="s">
        <v>977</v>
      </c>
      <c r="F210" s="339">
        <v>12843.5</v>
      </c>
      <c r="H210" s="340">
        <f>F210/C210</f>
        <v>0.85</v>
      </c>
    </row>
    <row r="211" spans="1:6" x14ac:dyDescent="0.25">
      <c r="A211" s="2" t="s">
        <v>1277</v>
      </c>
      <c r="B211" s="1" t="s">
        <v>1278</v>
      </c>
      <c r="C211" s="339">
        <v>3170</v>
      </c>
      <c r="D211" s="2" t="s">
        <v>976</v>
      </c>
      <c r="E211" s="2" t="s">
        <v>977</v>
      </c>
      <c r="F211" s="339">
        <v>2813</v>
      </c>
    </row>
    <row r="212" spans="1:8" x14ac:dyDescent="0.25">
      <c r="A212" s="2" t="s">
        <v>889</v>
      </c>
      <c r="B212" s="1" t="s">
        <v>890</v>
      </c>
      <c r="C212" s="339">
        <v>7996</v>
      </c>
      <c r="D212" s="2" t="s">
        <v>976</v>
      </c>
      <c r="E212" s="2" t="s">
        <v>977</v>
      </c>
      <c r="F212" s="339">
        <v>5946.8</v>
      </c>
      <c r="H212" s="340">
        <f>F212/C212</f>
        <v>0.7437218609304652</v>
      </c>
    </row>
    <row r="213" spans="1:7" x14ac:dyDescent="0.25">
      <c r="A213" s="2" t="s">
        <v>1279</v>
      </c>
      <c r="B213" s="1" t="s">
        <v>1280</v>
      </c>
      <c r="C213" s="339">
        <v>5620</v>
      </c>
      <c r="D213" s="2" t="s">
        <v>976</v>
      </c>
      <c r="E213" s="2" t="s">
        <v>977</v>
      </c>
      <c r="F213" s="339">
        <v>4696</v>
      </c>
      <c r="G213" s="340">
        <f>+F213/C213</f>
        <v>0.8355871886120997</v>
      </c>
    </row>
    <row r="214" spans="1:8" x14ac:dyDescent="0.25">
      <c r="A214" s="2" t="s">
        <v>1281</v>
      </c>
      <c r="B214" s="1" t="s">
        <v>1282</v>
      </c>
      <c r="C214" s="339">
        <v>10322</v>
      </c>
      <c r="D214" s="2" t="s">
        <v>976</v>
      </c>
      <c r="E214" s="2" t="s">
        <v>977</v>
      </c>
      <c r="F214" s="339">
        <v>5986.76</v>
      </c>
      <c r="H214" s="1">
        <f>F214/C214</f>
        <v>0.5800000000000001</v>
      </c>
    </row>
    <row r="215" spans="1:8" x14ac:dyDescent="0.25">
      <c r="A215" s="2" t="s">
        <v>1283</v>
      </c>
      <c r="B215" s="1" t="s">
        <v>1284</v>
      </c>
      <c r="C215" s="339">
        <v>4200</v>
      </c>
      <c r="D215" s="2" t="s">
        <v>976</v>
      </c>
      <c r="E215" s="2" t="s">
        <v>977</v>
      </c>
      <c r="F215" s="339">
        <v>2520</v>
      </c>
      <c r="H215" s="1">
        <f>+F215/C215</f>
        <v>0.6</v>
      </c>
    </row>
    <row r="216" spans="1:8" x14ac:dyDescent="0.25">
      <c r="A216" s="2" t="s">
        <v>1285</v>
      </c>
      <c r="B216" s="1" t="s">
        <v>1286</v>
      </c>
      <c r="C216" s="339">
        <v>1020</v>
      </c>
      <c r="D216" s="2" t="s">
        <v>976</v>
      </c>
      <c r="E216" s="2" t="s">
        <v>977</v>
      </c>
      <c r="F216" s="339">
        <v>765</v>
      </c>
      <c r="H216" s="1">
        <f>+F216/C216</f>
        <v>0.75</v>
      </c>
    </row>
    <row r="217" spans="1:8" x14ac:dyDescent="0.25">
      <c r="A217" s="2" t="s">
        <v>1287</v>
      </c>
      <c r="B217" s="1" t="s">
        <v>501</v>
      </c>
      <c r="C217" s="339">
        <v>4730</v>
      </c>
      <c r="D217" s="2" t="s">
        <v>976</v>
      </c>
      <c r="E217" s="2" t="s">
        <v>977</v>
      </c>
      <c r="F217" s="339">
        <v>4233.35</v>
      </c>
      <c r="H217" s="1">
        <f>F217/C217</f>
        <v>0.8950000000000001</v>
      </c>
    </row>
    <row r="218" spans="1:8" x14ac:dyDescent="0.25">
      <c r="A218" s="2" t="s">
        <v>1288</v>
      </c>
      <c r="B218" s="1" t="s">
        <v>1289</v>
      </c>
      <c r="C218" s="339">
        <v>800</v>
      </c>
      <c r="D218" s="2" t="s">
        <v>976</v>
      </c>
      <c r="E218" s="2" t="s">
        <v>977</v>
      </c>
      <c r="F218" s="339">
        <v>240</v>
      </c>
      <c r="H218" s="1">
        <f>+F218/C218</f>
        <v>0.3</v>
      </c>
    </row>
    <row r="219" spans="1:6" x14ac:dyDescent="0.25">
      <c r="A219" s="2" t="s">
        <v>1290</v>
      </c>
      <c r="B219" s="1" t="s">
        <v>1291</v>
      </c>
      <c r="C219" s="339">
        <v>2379</v>
      </c>
      <c r="D219" s="2" t="s">
        <v>980</v>
      </c>
      <c r="E219" s="2" t="s">
        <v>977</v>
      </c>
      <c r="F219" s="339">
        <v>7589.01</v>
      </c>
    </row>
    <row r="220" spans="1:6" x14ac:dyDescent="0.25">
      <c r="A220" s="2" t="s">
        <v>1292</v>
      </c>
      <c r="B220" s="1" t="s">
        <v>1293</v>
      </c>
      <c r="C220" s="339">
        <v>450</v>
      </c>
      <c r="D220" s="2" t="s">
        <v>980</v>
      </c>
      <c r="E220" s="2" t="s">
        <v>977</v>
      </c>
      <c r="F220" s="339">
        <v>5611.5</v>
      </c>
    </row>
    <row r="221" spans="1:6" x14ac:dyDescent="0.25">
      <c r="A221" s="2" t="s">
        <v>1294</v>
      </c>
      <c r="B221" s="1" t="s">
        <v>1295</v>
      </c>
      <c r="C221" s="339">
        <v>295</v>
      </c>
      <c r="D221" s="2" t="s">
        <v>980</v>
      </c>
      <c r="E221" s="2" t="s">
        <v>977</v>
      </c>
      <c r="F221" s="339">
        <v>914.5</v>
      </c>
    </row>
    <row r="222" spans="1:6" x14ac:dyDescent="0.25">
      <c r="A222" s="2" t="s">
        <v>1296</v>
      </c>
      <c r="B222" s="1" t="s">
        <v>1297</v>
      </c>
      <c r="C222" s="339">
        <v>64</v>
      </c>
      <c r="D222" s="2" t="s">
        <v>980</v>
      </c>
      <c r="E222" s="2" t="s">
        <v>977</v>
      </c>
      <c r="F222" s="339">
        <v>736</v>
      </c>
    </row>
    <row r="223" spans="1:6" x14ac:dyDescent="0.25">
      <c r="A223" s="2" t="s">
        <v>1298</v>
      </c>
      <c r="B223" s="1" t="s">
        <v>1299</v>
      </c>
      <c r="C223" s="339">
        <v>1871</v>
      </c>
      <c r="D223" s="2" t="s">
        <v>987</v>
      </c>
      <c r="E223" s="2" t="s">
        <v>990</v>
      </c>
      <c r="F223" s="339">
        <v>18710</v>
      </c>
    </row>
    <row r="224" spans="1:8" x14ac:dyDescent="0.25">
      <c r="A224" s="2" t="s">
        <v>653</v>
      </c>
      <c r="B224" s="1" t="s">
        <v>654</v>
      </c>
      <c r="C224" s="339">
        <v>772.85</v>
      </c>
      <c r="D224" s="2" t="s">
        <v>980</v>
      </c>
      <c r="E224" s="2" t="s">
        <v>977</v>
      </c>
      <c r="F224" s="339">
        <v>2318.55</v>
      </c>
      <c r="G224" s="1">
        <f>F224/C224</f>
        <v>3</v>
      </c>
      <c r="H224" s="340">
        <f>G224/30</f>
        <v>0.1</v>
      </c>
    </row>
    <row r="225" spans="1:8" x14ac:dyDescent="0.25">
      <c r="A225" s="2" t="s">
        <v>695</v>
      </c>
      <c r="B225" s="1" t="s">
        <v>696</v>
      </c>
      <c r="C225" s="339">
        <v>1017.1</v>
      </c>
      <c r="D225" s="2" t="s">
        <v>980</v>
      </c>
      <c r="E225" s="2" t="s">
        <v>977</v>
      </c>
      <c r="F225" s="339">
        <v>3051.3</v>
      </c>
      <c r="G225" s="1">
        <f>F225/C225</f>
        <v>3</v>
      </c>
      <c r="H225" s="340">
        <f>G225/30</f>
        <v>0.1</v>
      </c>
    </row>
    <row r="226" spans="1:6" x14ac:dyDescent="0.25">
      <c r="A226" s="2" t="s">
        <v>1300</v>
      </c>
      <c r="B226" s="1" t="s">
        <v>1301</v>
      </c>
      <c r="C226" s="339">
        <v>1500</v>
      </c>
      <c r="D226" s="2" t="s">
        <v>980</v>
      </c>
      <c r="E226" s="2" t="s">
        <v>977</v>
      </c>
      <c r="F226" s="339">
        <v>5700</v>
      </c>
    </row>
    <row r="227" spans="1:6" x14ac:dyDescent="0.25">
      <c r="A227" s="2" t="s">
        <v>1302</v>
      </c>
      <c r="B227" s="1" t="s">
        <v>1303</v>
      </c>
      <c r="C227" s="339">
        <v>2897</v>
      </c>
      <c r="D227" s="2" t="s">
        <v>980</v>
      </c>
      <c r="E227" s="2" t="s">
        <v>977</v>
      </c>
      <c r="F227" s="339">
        <v>11008.6</v>
      </c>
    </row>
    <row r="228" spans="1:6" x14ac:dyDescent="0.25">
      <c r="A228" s="2" t="s">
        <v>1304</v>
      </c>
      <c r="B228" s="1" t="s">
        <v>1305</v>
      </c>
      <c r="C228" s="339">
        <v>2991</v>
      </c>
      <c r="D228" s="2" t="s">
        <v>980</v>
      </c>
      <c r="E228" s="2" t="s">
        <v>977</v>
      </c>
      <c r="F228" s="339">
        <v>11365.8</v>
      </c>
    </row>
    <row r="229" spans="1:6" x14ac:dyDescent="0.25">
      <c r="A229" s="2" t="s">
        <v>1306</v>
      </c>
      <c r="B229" s="1" t="s">
        <v>1307</v>
      </c>
      <c r="C229" s="339">
        <v>672</v>
      </c>
      <c r="D229" s="2" t="s">
        <v>980</v>
      </c>
      <c r="E229" s="2" t="s">
        <v>977</v>
      </c>
      <c r="F229" s="339">
        <v>1478.43</v>
      </c>
    </row>
    <row r="230" spans="1:6" x14ac:dyDescent="0.25">
      <c r="A230" s="2" t="s">
        <v>1308</v>
      </c>
      <c r="B230" s="1" t="s">
        <v>1309</v>
      </c>
      <c r="C230" s="339">
        <v>120</v>
      </c>
      <c r="D230" s="2" t="s">
        <v>987</v>
      </c>
      <c r="E230" s="2" t="s">
        <v>990</v>
      </c>
      <c r="F230" s="339">
        <v>18698.7</v>
      </c>
    </row>
    <row r="231" spans="1:6" x14ac:dyDescent="0.25">
      <c r="A231" s="2" t="s">
        <v>1310</v>
      </c>
      <c r="B231" s="1" t="s">
        <v>1311</v>
      </c>
      <c r="C231" s="339">
        <v>100</v>
      </c>
      <c r="D231" s="2" t="s">
        <v>987</v>
      </c>
      <c r="E231" s="2" t="s">
        <v>990</v>
      </c>
      <c r="F231" s="339">
        <v>14669.45</v>
      </c>
    </row>
    <row r="232" spans="1:6" x14ac:dyDescent="0.25">
      <c r="A232" s="2" t="s">
        <v>1312</v>
      </c>
      <c r="B232" s="1" t="s">
        <v>1313</v>
      </c>
      <c r="C232" s="339">
        <v>20</v>
      </c>
      <c r="D232" s="2" t="s">
        <v>987</v>
      </c>
      <c r="E232" s="2" t="s">
        <v>990</v>
      </c>
      <c r="F232" s="339">
        <v>2931.16</v>
      </c>
    </row>
    <row r="233" spans="1:6" x14ac:dyDescent="0.25">
      <c r="A233" s="2" t="s">
        <v>1314</v>
      </c>
      <c r="B233" s="1" t="s">
        <v>1315</v>
      </c>
      <c r="C233" s="339">
        <v>60</v>
      </c>
      <c r="D233" s="2" t="s">
        <v>980</v>
      </c>
      <c r="E233" s="2" t="s">
        <v>990</v>
      </c>
      <c r="F233" s="339">
        <v>9461.4</v>
      </c>
    </row>
    <row r="234" spans="1:6" x14ac:dyDescent="0.25">
      <c r="A234" s="2" t="s">
        <v>1316</v>
      </c>
      <c r="B234" s="1" t="s">
        <v>1317</v>
      </c>
      <c r="C234" s="339">
        <v>40</v>
      </c>
      <c r="D234" s="2" t="s">
        <v>987</v>
      </c>
      <c r="E234" s="2" t="s">
        <v>990</v>
      </c>
      <c r="F234" s="339">
        <v>5329.58</v>
      </c>
    </row>
    <row r="235" spans="1:6" x14ac:dyDescent="0.25">
      <c r="A235" s="2" t="s">
        <v>1318</v>
      </c>
      <c r="B235" s="1" t="s">
        <v>1319</v>
      </c>
      <c r="C235" s="339">
        <v>185</v>
      </c>
      <c r="D235" s="2" t="s">
        <v>987</v>
      </c>
      <c r="E235" s="2" t="s">
        <v>977</v>
      </c>
      <c r="F235" s="339">
        <v>582.75</v>
      </c>
    </row>
    <row r="236" spans="1:6" x14ac:dyDescent="0.25">
      <c r="A236" s="2" t="s">
        <v>1320</v>
      </c>
      <c r="B236" s="1" t="s">
        <v>1321</v>
      </c>
      <c r="C236" s="339">
        <v>948</v>
      </c>
      <c r="D236" s="2" t="s">
        <v>980</v>
      </c>
      <c r="E236" s="2" t="s">
        <v>977</v>
      </c>
      <c r="F236" s="339">
        <v>3137.88</v>
      </c>
    </row>
    <row r="237" spans="1:6" x14ac:dyDescent="0.25">
      <c r="A237" s="2" t="s">
        <v>1322</v>
      </c>
      <c r="B237" s="1" t="s">
        <v>1323</v>
      </c>
      <c r="C237" s="339">
        <v>60</v>
      </c>
      <c r="D237" s="2" t="s">
        <v>980</v>
      </c>
      <c r="E237" s="2" t="s">
        <v>977</v>
      </c>
      <c r="F237" s="339">
        <v>192</v>
      </c>
    </row>
    <row r="238" spans="1:6" x14ac:dyDescent="0.25">
      <c r="A238" s="2" t="s">
        <v>1324</v>
      </c>
      <c r="B238" s="1" t="s">
        <v>1325</v>
      </c>
      <c r="C238" s="339">
        <v>60</v>
      </c>
      <c r="D238" s="2" t="s">
        <v>987</v>
      </c>
      <c r="E238" s="2" t="s">
        <v>990</v>
      </c>
      <c r="F238" s="339">
        <v>10980</v>
      </c>
    </row>
    <row r="239" spans="1:6" x14ac:dyDescent="0.25">
      <c r="A239" s="2" t="s">
        <v>1326</v>
      </c>
      <c r="B239" s="1" t="s">
        <v>1327</v>
      </c>
      <c r="C239" s="339">
        <v>40</v>
      </c>
      <c r="D239" s="2" t="s">
        <v>987</v>
      </c>
      <c r="E239" s="2" t="s">
        <v>990</v>
      </c>
      <c r="F239" s="339">
        <v>8960</v>
      </c>
    </row>
    <row r="240" spans="1:6" x14ac:dyDescent="0.25">
      <c r="A240" s="2" t="s">
        <v>1328</v>
      </c>
      <c r="B240" s="1" t="s">
        <v>1329</v>
      </c>
      <c r="C240" s="339">
        <v>182</v>
      </c>
      <c r="D240" s="2" t="s">
        <v>976</v>
      </c>
      <c r="E240" s="2" t="s">
        <v>977</v>
      </c>
      <c r="F240" s="339">
        <v>35.49</v>
      </c>
    </row>
    <row r="241" spans="1:8" x14ac:dyDescent="0.25">
      <c r="A241" s="2" t="s">
        <v>712</v>
      </c>
      <c r="B241" s="1" t="s">
        <v>713</v>
      </c>
      <c r="C241" s="339">
        <v>45300</v>
      </c>
      <c r="D241" s="2" t="s">
        <v>976</v>
      </c>
      <c r="E241" s="2" t="s">
        <v>977</v>
      </c>
      <c r="F241" s="339">
        <v>8380.5</v>
      </c>
      <c r="H241" s="1">
        <f>F241/C241</f>
        <v>0.185</v>
      </c>
    </row>
    <row r="242" spans="1:6" x14ac:dyDescent="0.25">
      <c r="A242" s="2" t="s">
        <v>1330</v>
      </c>
      <c r="B242" s="1" t="s">
        <v>1331</v>
      </c>
      <c r="C242" s="339">
        <v>40</v>
      </c>
      <c r="D242" s="2" t="s">
        <v>987</v>
      </c>
      <c r="E242" s="2" t="s">
        <v>990</v>
      </c>
      <c r="F242" s="339">
        <v>5862.32</v>
      </c>
    </row>
    <row r="243" spans="1:9" x14ac:dyDescent="0.25">
      <c r="A243" s="2" t="s">
        <v>1332</v>
      </c>
      <c r="B243" s="1" t="s">
        <v>605</v>
      </c>
      <c r="C243" s="339">
        <v>837000</v>
      </c>
      <c r="D243" s="2" t="s">
        <v>976</v>
      </c>
      <c r="E243" s="2" t="s">
        <v>977</v>
      </c>
      <c r="F243" s="339">
        <v>47608560</v>
      </c>
      <c r="H243" s="1">
        <f>F243/C243</f>
        <v>56.88</v>
      </c>
      <c r="I243" s="1">
        <f>H243/3000</f>
        <v>0.01896</v>
      </c>
    </row>
    <row r="244" spans="1:6" x14ac:dyDescent="0.25">
      <c r="A244" s="2" t="s">
        <v>1333</v>
      </c>
      <c r="B244" s="1" t="s">
        <v>1334</v>
      </c>
      <c r="C244" s="339">
        <v>6000</v>
      </c>
      <c r="D244" s="2" t="s">
        <v>1335</v>
      </c>
      <c r="E244" s="2" t="s">
        <v>977</v>
      </c>
      <c r="F244" s="339">
        <v>204000</v>
      </c>
    </row>
    <row r="245" spans="1:6" x14ac:dyDescent="0.25">
      <c r="A245" s="2" t="s">
        <v>1336</v>
      </c>
      <c r="B245" s="1" t="s">
        <v>1337</v>
      </c>
      <c r="C245" s="339">
        <v>60052</v>
      </c>
      <c r="D245" s="2" t="s">
        <v>976</v>
      </c>
      <c r="E245" s="2" t="s">
        <v>977</v>
      </c>
      <c r="F245" s="339">
        <v>4956.33</v>
      </c>
    </row>
    <row r="246" spans="1:6" x14ac:dyDescent="0.25">
      <c r="A246" s="2" t="s">
        <v>1338</v>
      </c>
      <c r="B246" s="1" t="s">
        <v>1339</v>
      </c>
      <c r="C246" s="339">
        <v>36</v>
      </c>
      <c r="D246" s="2" t="s">
        <v>976</v>
      </c>
      <c r="E246" s="2" t="s">
        <v>977</v>
      </c>
      <c r="F246" s="339">
        <v>453.6</v>
      </c>
    </row>
    <row r="247" spans="1:6" x14ac:dyDescent="0.25">
      <c r="A247" s="2" t="s">
        <v>1340</v>
      </c>
      <c r="B247" s="1" t="s">
        <v>1341</v>
      </c>
      <c r="C247" s="339">
        <v>36</v>
      </c>
      <c r="D247" s="2" t="s">
        <v>976</v>
      </c>
      <c r="E247" s="2" t="s">
        <v>977</v>
      </c>
      <c r="F247" s="339">
        <v>372.6</v>
      </c>
    </row>
    <row r="248" spans="1:6" x14ac:dyDescent="0.25">
      <c r="A248" s="2" t="s">
        <v>1342</v>
      </c>
      <c r="B248" s="1" t="s">
        <v>1343</v>
      </c>
      <c r="C248" s="339">
        <v>200</v>
      </c>
      <c r="D248" s="2" t="s">
        <v>987</v>
      </c>
      <c r="E248" s="2" t="s">
        <v>990</v>
      </c>
      <c r="F248" s="339">
        <v>44800</v>
      </c>
    </row>
    <row r="249" spans="1:8" x14ac:dyDescent="0.25">
      <c r="A249" s="2" t="s">
        <v>1344</v>
      </c>
      <c r="B249" s="1" t="s">
        <v>1345</v>
      </c>
      <c r="C249" s="339">
        <v>82000</v>
      </c>
      <c r="D249" s="2" t="s">
        <v>976</v>
      </c>
      <c r="E249" s="2" t="s">
        <v>977</v>
      </c>
      <c r="F249" s="339">
        <v>697</v>
      </c>
      <c r="H249" s="1">
        <f>F249/C249</f>
        <v>0.0085</v>
      </c>
    </row>
    <row r="250" spans="1:6" x14ac:dyDescent="0.25">
      <c r="A250" s="2" t="s">
        <v>1346</v>
      </c>
      <c r="B250" s="1" t="s">
        <v>1347</v>
      </c>
      <c r="C250" s="339">
        <v>40000</v>
      </c>
      <c r="D250" s="2" t="s">
        <v>976</v>
      </c>
      <c r="E250" s="2" t="s">
        <v>977</v>
      </c>
      <c r="F250" s="339">
        <v>232</v>
      </c>
    </row>
    <row r="251" spans="1:6" x14ac:dyDescent="0.25">
      <c r="A251" s="2" t="s">
        <v>1348</v>
      </c>
      <c r="B251" s="1" t="s">
        <v>1349</v>
      </c>
      <c r="C251" s="339">
        <v>2397360</v>
      </c>
      <c r="D251" s="2" t="s">
        <v>976</v>
      </c>
      <c r="E251" s="2" t="s">
        <v>977</v>
      </c>
      <c r="F251" s="339">
        <v>8619.71</v>
      </c>
    </row>
    <row r="252" spans="1:6" x14ac:dyDescent="0.25">
      <c r="A252" s="2" t="s">
        <v>1350</v>
      </c>
      <c r="B252" s="1" t="s">
        <v>1351</v>
      </c>
      <c r="C252" s="339">
        <v>40000</v>
      </c>
      <c r="D252" s="2" t="s">
        <v>976</v>
      </c>
      <c r="E252" s="2" t="s">
        <v>977</v>
      </c>
      <c r="F252" s="339">
        <v>340</v>
      </c>
    </row>
    <row r="253" spans="1:6" x14ac:dyDescent="0.25">
      <c r="A253" s="2" t="s">
        <v>1352</v>
      </c>
      <c r="B253" s="1" t="s">
        <v>1353</v>
      </c>
      <c r="C253" s="339">
        <v>13200</v>
      </c>
      <c r="D253" s="2" t="s">
        <v>976</v>
      </c>
      <c r="E253" s="2" t="s">
        <v>977</v>
      </c>
      <c r="F253" s="339">
        <v>1320</v>
      </c>
    </row>
    <row r="254" spans="1:8" x14ac:dyDescent="0.25">
      <c r="A254" s="2" t="s">
        <v>1354</v>
      </c>
      <c r="B254" s="1" t="s">
        <v>1355</v>
      </c>
      <c r="C254" s="339">
        <v>27579</v>
      </c>
      <c r="D254" s="2" t="s">
        <v>976</v>
      </c>
      <c r="E254" s="2" t="s">
        <v>977</v>
      </c>
      <c r="F254" s="339">
        <v>5140.89</v>
      </c>
      <c r="H254" s="1">
        <f>F254/C254</f>
        <v>0.18640596105732624</v>
      </c>
    </row>
    <row r="255" spans="1:8" x14ac:dyDescent="0.25">
      <c r="A255" s="2" t="s">
        <v>1356</v>
      </c>
      <c r="B255" s="1" t="s">
        <v>530</v>
      </c>
      <c r="C255" s="339">
        <v>39640.92</v>
      </c>
      <c r="D255" s="2" t="s">
        <v>976</v>
      </c>
      <c r="E255" s="2" t="s">
        <v>977</v>
      </c>
      <c r="F255" s="339">
        <v>7531.77</v>
      </c>
      <c r="H255" s="1">
        <f>F255/C255</f>
        <v>0.18999987891300205</v>
      </c>
    </row>
    <row r="256" spans="1:8" x14ac:dyDescent="0.25">
      <c r="A256" s="2" t="s">
        <v>1357</v>
      </c>
      <c r="B256" s="1" t="s">
        <v>1358</v>
      </c>
      <c r="C256" s="339">
        <v>890</v>
      </c>
      <c r="D256" s="2" t="s">
        <v>976</v>
      </c>
      <c r="E256" s="2" t="s">
        <v>977</v>
      </c>
      <c r="F256" s="339">
        <v>1103.6</v>
      </c>
      <c r="H256" s="1">
        <f>+F256/C256</f>
        <v>1.24</v>
      </c>
    </row>
    <row r="257" spans="1:6" x14ac:dyDescent="0.25">
      <c r="A257" s="2" t="s">
        <v>1359</v>
      </c>
      <c r="B257" s="1" t="s">
        <v>1360</v>
      </c>
      <c r="C257" s="339">
        <v>140</v>
      </c>
      <c r="D257" s="2" t="s">
        <v>987</v>
      </c>
      <c r="E257" s="2" t="s">
        <v>990</v>
      </c>
      <c r="F257" s="339">
        <v>15400</v>
      </c>
    </row>
    <row r="258" spans="1:6" x14ac:dyDescent="0.25">
      <c r="A258" s="2" t="s">
        <v>1361</v>
      </c>
      <c r="B258" s="1" t="s">
        <v>1362</v>
      </c>
      <c r="C258" s="339">
        <v>4.92</v>
      </c>
      <c r="D258" s="2" t="s">
        <v>980</v>
      </c>
      <c r="E258" s="2" t="s">
        <v>977</v>
      </c>
      <c r="F258" s="339">
        <v>18.45</v>
      </c>
    </row>
    <row r="259" spans="1:6" x14ac:dyDescent="0.25">
      <c r="A259" s="2" t="s">
        <v>1363</v>
      </c>
      <c r="B259" s="1" t="s">
        <v>1364</v>
      </c>
      <c r="C259" s="339">
        <v>20</v>
      </c>
      <c r="D259" s="2" t="s">
        <v>1365</v>
      </c>
      <c r="E259" s="2" t="s">
        <v>977</v>
      </c>
      <c r="F259" s="339">
        <v>10420</v>
      </c>
    </row>
    <row r="260" spans="1:6" x14ac:dyDescent="0.25">
      <c r="A260" s="2" t="s">
        <v>1366</v>
      </c>
      <c r="B260" s="1" t="s">
        <v>1367</v>
      </c>
      <c r="C260" s="339">
        <v>2000</v>
      </c>
      <c r="D260" s="2" t="s">
        <v>980</v>
      </c>
      <c r="E260" s="2" t="s">
        <v>977</v>
      </c>
      <c r="F260" s="339">
        <v>900</v>
      </c>
    </row>
    <row r="261" spans="1:7" x14ac:dyDescent="0.25">
      <c r="A261" s="2" t="s">
        <v>1368</v>
      </c>
      <c r="B261" s="1" t="s">
        <v>1369</v>
      </c>
      <c r="C261" s="339">
        <v>1060</v>
      </c>
      <c r="D261" s="2" t="s">
        <v>976</v>
      </c>
      <c r="E261" s="2" t="s">
        <v>977</v>
      </c>
      <c r="F261" s="339">
        <v>1272</v>
      </c>
      <c r="G261" s="1">
        <f>+F261/C261</f>
        <v>1.2</v>
      </c>
    </row>
    <row r="262" spans="1:6" x14ac:dyDescent="0.25">
      <c r="A262" s="2" t="s">
        <v>1370</v>
      </c>
      <c r="B262" s="1" t="s">
        <v>1371</v>
      </c>
      <c r="C262" s="339">
        <v>2000</v>
      </c>
      <c r="D262" s="2" t="s">
        <v>976</v>
      </c>
      <c r="E262" s="2" t="s">
        <v>977</v>
      </c>
      <c r="F262" s="339">
        <v>2400</v>
      </c>
    </row>
    <row r="263" spans="1:8" x14ac:dyDescent="0.25">
      <c r="A263" s="2" t="s">
        <v>517</v>
      </c>
      <c r="B263" s="1" t="s">
        <v>518</v>
      </c>
      <c r="C263" s="339">
        <v>3075</v>
      </c>
      <c r="D263" s="2" t="s">
        <v>976</v>
      </c>
      <c r="E263" s="2" t="s">
        <v>977</v>
      </c>
      <c r="F263" s="339">
        <v>4920</v>
      </c>
      <c r="H263" s="1">
        <f>F263/C263</f>
        <v>1.6</v>
      </c>
    </row>
    <row r="264" spans="1:8" x14ac:dyDescent="0.25">
      <c r="A264" s="2" t="s">
        <v>1372</v>
      </c>
      <c r="B264" s="1" t="s">
        <v>1373</v>
      </c>
      <c r="C264" s="339">
        <v>6200</v>
      </c>
      <c r="D264" s="2" t="s">
        <v>976</v>
      </c>
      <c r="E264" s="2" t="s">
        <v>977</v>
      </c>
      <c r="F264" s="339">
        <v>3038</v>
      </c>
      <c r="H264" s="1">
        <f>+F264/C264</f>
        <v>0.49</v>
      </c>
    </row>
    <row r="265" spans="1:9" x14ac:dyDescent="0.25">
      <c r="A265" s="2" t="s">
        <v>1374</v>
      </c>
      <c r="B265" s="1" t="s">
        <v>588</v>
      </c>
      <c r="C265" s="339">
        <v>13704.79</v>
      </c>
      <c r="D265" s="2" t="s">
        <v>980</v>
      </c>
      <c r="E265" s="2" t="s">
        <v>977</v>
      </c>
      <c r="F265" s="339">
        <v>73736.11</v>
      </c>
      <c r="H265" s="1">
        <f>F265/C265</f>
        <v>5.380316663006146</v>
      </c>
      <c r="I265" s="1">
        <f>+H265/250</f>
        <v>0.02152126665202458</v>
      </c>
    </row>
    <row r="266" spans="1:8" x14ac:dyDescent="0.25">
      <c r="A266" s="2" t="s">
        <v>513</v>
      </c>
      <c r="B266" s="1" t="s">
        <v>514</v>
      </c>
      <c r="C266" s="339">
        <v>3939</v>
      </c>
      <c r="D266" s="2" t="s">
        <v>976</v>
      </c>
      <c r="E266" s="2" t="s">
        <v>977</v>
      </c>
      <c r="F266" s="339">
        <v>4529.85</v>
      </c>
      <c r="H266" s="1">
        <f>F266/C266</f>
        <v>1.1500000000000001</v>
      </c>
    </row>
    <row r="267" spans="1:8" x14ac:dyDescent="0.25">
      <c r="A267" s="2" t="s">
        <v>509</v>
      </c>
      <c r="B267" s="1" t="s">
        <v>510</v>
      </c>
      <c r="C267" s="339">
        <v>1757</v>
      </c>
      <c r="D267" s="2" t="s">
        <v>976</v>
      </c>
      <c r="E267" s="2" t="s">
        <v>977</v>
      </c>
      <c r="F267" s="339">
        <v>2108.4</v>
      </c>
      <c r="H267" s="1">
        <f>F267/C267</f>
        <v>1.2</v>
      </c>
    </row>
    <row r="268" spans="1:8" x14ac:dyDescent="0.25">
      <c r="A268" s="2" t="s">
        <v>1375</v>
      </c>
      <c r="B268" s="1" t="s">
        <v>1376</v>
      </c>
      <c r="C268" s="339">
        <v>1780</v>
      </c>
      <c r="D268" s="2" t="s">
        <v>976</v>
      </c>
      <c r="E268" s="2" t="s">
        <v>977</v>
      </c>
      <c r="F268" s="339">
        <v>1157</v>
      </c>
      <c r="H268" s="1">
        <f>+F268/C268</f>
        <v>0.65</v>
      </c>
    </row>
    <row r="269" spans="1:6" x14ac:dyDescent="0.25">
      <c r="A269" s="2" t="s">
        <v>1377</v>
      </c>
      <c r="B269" s="1" t="s">
        <v>1378</v>
      </c>
      <c r="C269" s="339">
        <v>5987</v>
      </c>
      <c r="D269" s="2" t="s">
        <v>976</v>
      </c>
      <c r="E269" s="2" t="s">
        <v>977</v>
      </c>
      <c r="F269" s="339">
        <v>3626.42</v>
      </c>
    </row>
    <row r="270" spans="1:6" x14ac:dyDescent="0.25">
      <c r="A270" s="2" t="s">
        <v>1379</v>
      </c>
      <c r="B270" s="1" t="s">
        <v>1380</v>
      </c>
      <c r="C270" s="339">
        <v>600</v>
      </c>
      <c r="D270" s="2" t="s">
        <v>976</v>
      </c>
      <c r="E270" s="2" t="s">
        <v>977</v>
      </c>
      <c r="F270" s="339">
        <v>390</v>
      </c>
    </row>
    <row r="271" spans="1:6" x14ac:dyDescent="0.25">
      <c r="A271" s="2" t="s">
        <v>1381</v>
      </c>
      <c r="B271" s="1" t="s">
        <v>1382</v>
      </c>
      <c r="C271" s="339">
        <v>1038</v>
      </c>
      <c r="D271" s="2" t="s">
        <v>976</v>
      </c>
      <c r="E271" s="2" t="s">
        <v>977</v>
      </c>
      <c r="F271" s="339">
        <v>1245.6</v>
      </c>
    </row>
    <row r="272" spans="1:6" x14ac:dyDescent="0.25">
      <c r="A272" s="2" t="s">
        <v>1383</v>
      </c>
      <c r="B272" s="1" t="s">
        <v>1384</v>
      </c>
      <c r="C272" s="339">
        <v>640</v>
      </c>
      <c r="D272" s="2" t="s">
        <v>976</v>
      </c>
      <c r="E272" s="2" t="s">
        <v>977</v>
      </c>
      <c r="F272" s="339">
        <v>1024</v>
      </c>
    </row>
    <row r="273" spans="1:6" x14ac:dyDescent="0.25">
      <c r="A273" s="2" t="s">
        <v>1385</v>
      </c>
      <c r="B273" s="1" t="s">
        <v>1386</v>
      </c>
      <c r="C273" s="339">
        <v>1920</v>
      </c>
      <c r="D273" s="2" t="s">
        <v>976</v>
      </c>
      <c r="E273" s="2" t="s">
        <v>977</v>
      </c>
      <c r="F273" s="339">
        <v>2880</v>
      </c>
    </row>
    <row r="274" spans="1:8" x14ac:dyDescent="0.25">
      <c r="A274" s="2" t="s">
        <v>521</v>
      </c>
      <c r="B274" s="1" t="s">
        <v>522</v>
      </c>
      <c r="C274" s="339">
        <v>2500</v>
      </c>
      <c r="D274" s="2" t="s">
        <v>976</v>
      </c>
      <c r="E274" s="2" t="s">
        <v>977</v>
      </c>
      <c r="F274" s="339">
        <v>4000</v>
      </c>
      <c r="H274" s="1">
        <f>F274/C274</f>
        <v>1.6</v>
      </c>
    </row>
    <row r="275" spans="1:6" x14ac:dyDescent="0.25">
      <c r="A275" s="2" t="s">
        <v>1387</v>
      </c>
      <c r="B275" s="1" t="s">
        <v>1388</v>
      </c>
      <c r="C275" s="339">
        <v>8958</v>
      </c>
      <c r="D275" s="2" t="s">
        <v>976</v>
      </c>
      <c r="E275" s="2" t="s">
        <v>977</v>
      </c>
      <c r="F275" s="339">
        <v>10749.6</v>
      </c>
    </row>
    <row r="276" spans="1:6" x14ac:dyDescent="0.25">
      <c r="A276" s="2" t="s">
        <v>1389</v>
      </c>
      <c r="B276" s="1" t="s">
        <v>1390</v>
      </c>
      <c r="C276" s="339">
        <v>8000</v>
      </c>
      <c r="D276" s="2" t="s">
        <v>976</v>
      </c>
      <c r="E276" s="2" t="s">
        <v>977</v>
      </c>
      <c r="F276" s="339">
        <v>4200</v>
      </c>
    </row>
    <row r="277" spans="1:6" x14ac:dyDescent="0.25">
      <c r="A277" s="2" t="s">
        <v>1391</v>
      </c>
      <c r="B277" s="1" t="s">
        <v>1392</v>
      </c>
      <c r="C277" s="339">
        <v>6490</v>
      </c>
      <c r="D277" s="2" t="s">
        <v>976</v>
      </c>
      <c r="E277" s="2" t="s">
        <v>977</v>
      </c>
      <c r="F277" s="339">
        <v>3439.7</v>
      </c>
    </row>
    <row r="278" spans="1:6" x14ac:dyDescent="0.25">
      <c r="A278" s="2" t="s">
        <v>1393</v>
      </c>
      <c r="B278" s="1" t="s">
        <v>1394</v>
      </c>
      <c r="C278" s="339">
        <v>6891</v>
      </c>
      <c r="D278" s="2" t="s">
        <v>976</v>
      </c>
      <c r="E278" s="2" t="s">
        <v>977</v>
      </c>
      <c r="F278" s="339">
        <v>8958.3</v>
      </c>
    </row>
    <row r="279" spans="1:8" x14ac:dyDescent="0.25">
      <c r="A279" s="2" t="s">
        <v>519</v>
      </c>
      <c r="B279" s="1" t="s">
        <v>520</v>
      </c>
      <c r="C279" s="339">
        <v>17685</v>
      </c>
      <c r="D279" s="2" t="s">
        <v>976</v>
      </c>
      <c r="E279" s="2" t="s">
        <v>977</v>
      </c>
      <c r="F279" s="339">
        <v>22106.25</v>
      </c>
      <c r="H279" s="1">
        <f>F279/C279</f>
        <v>1.25</v>
      </c>
    </row>
    <row r="280" spans="1:8" x14ac:dyDescent="0.25">
      <c r="A280" s="2" t="s">
        <v>1395</v>
      </c>
      <c r="B280" s="1" t="s">
        <v>1396</v>
      </c>
      <c r="C280" s="339">
        <v>3261</v>
      </c>
      <c r="D280" s="2" t="s">
        <v>976</v>
      </c>
      <c r="E280" s="2" t="s">
        <v>977</v>
      </c>
      <c r="F280" s="339">
        <v>4281.6</v>
      </c>
      <c r="H280" s="94">
        <f>F280/C280</f>
        <v>1.3129714811407545</v>
      </c>
    </row>
    <row r="281" spans="1:8" x14ac:dyDescent="0.25">
      <c r="A281" s="2" t="s">
        <v>647</v>
      </c>
      <c r="B281" s="1" t="s">
        <v>648</v>
      </c>
      <c r="C281" s="339">
        <v>5710</v>
      </c>
      <c r="D281" s="2" t="s">
        <v>976</v>
      </c>
      <c r="E281" s="2" t="s">
        <v>977</v>
      </c>
      <c r="F281" s="339">
        <v>9136.01</v>
      </c>
      <c r="H281" s="94">
        <f>F281/C281</f>
        <v>1.6000017513134852</v>
      </c>
    </row>
    <row r="282" spans="1:6" x14ac:dyDescent="0.25">
      <c r="A282" s="2" t="s">
        <v>1397</v>
      </c>
      <c r="B282" s="1" t="s">
        <v>1398</v>
      </c>
      <c r="C282" s="339">
        <v>245.04</v>
      </c>
      <c r="D282" s="2" t="s">
        <v>980</v>
      </c>
      <c r="E282" s="2" t="s">
        <v>977</v>
      </c>
      <c r="F282" s="339">
        <v>1707.93</v>
      </c>
    </row>
    <row r="283" spans="1:7" x14ac:dyDescent="0.25">
      <c r="A283" s="2" t="s">
        <v>515</v>
      </c>
      <c r="B283" s="1" t="s">
        <v>516</v>
      </c>
      <c r="C283" s="339">
        <v>1057</v>
      </c>
      <c r="D283" s="2" t="s">
        <v>976</v>
      </c>
      <c r="E283" s="2" t="s">
        <v>977</v>
      </c>
      <c r="F283" s="339">
        <v>1162.7</v>
      </c>
      <c r="G283" s="1">
        <f>+F283/C283</f>
        <v>1.1</v>
      </c>
    </row>
    <row r="284" spans="1:7" x14ac:dyDescent="0.25">
      <c r="A284" s="2" t="s">
        <v>1399</v>
      </c>
      <c r="B284" s="1" t="s">
        <v>507</v>
      </c>
      <c r="C284" s="339">
        <v>20297</v>
      </c>
      <c r="D284" s="2" t="s">
        <v>976</v>
      </c>
      <c r="E284" s="2" t="s">
        <v>977</v>
      </c>
      <c r="F284" s="339">
        <v>23042</v>
      </c>
      <c r="G284" s="340">
        <f>+F284/C284</f>
        <v>1.1352416613292604</v>
      </c>
    </row>
    <row r="285" spans="1:8" x14ac:dyDescent="0.25">
      <c r="A285" s="2" t="s">
        <v>1400</v>
      </c>
      <c r="B285" s="1" t="s">
        <v>508</v>
      </c>
      <c r="C285" s="339">
        <v>13971</v>
      </c>
      <c r="D285" s="2" t="s">
        <v>976</v>
      </c>
      <c r="E285" s="2" t="s">
        <v>977</v>
      </c>
      <c r="F285" s="339">
        <v>16527.15</v>
      </c>
      <c r="H285" s="1">
        <f>F285/C285</f>
        <v>1.1829611337771098</v>
      </c>
    </row>
    <row r="286" spans="1:6" x14ac:dyDescent="0.25">
      <c r="A286" s="2" t="s">
        <v>1401</v>
      </c>
      <c r="B286" s="1" t="s">
        <v>1402</v>
      </c>
      <c r="C286" s="339">
        <v>9165</v>
      </c>
      <c r="D286" s="2" t="s">
        <v>976</v>
      </c>
      <c r="E286" s="2" t="s">
        <v>977</v>
      </c>
      <c r="F286" s="339">
        <v>13747.5</v>
      </c>
    </row>
    <row r="287" spans="1:6" x14ac:dyDescent="0.25">
      <c r="A287" s="2" t="s">
        <v>1403</v>
      </c>
      <c r="B287" s="1" t="s">
        <v>1404</v>
      </c>
      <c r="C287" s="339">
        <v>2426</v>
      </c>
      <c r="D287" s="2" t="s">
        <v>976</v>
      </c>
      <c r="E287" s="2" t="s">
        <v>977</v>
      </c>
      <c r="F287" s="339">
        <v>2911.2</v>
      </c>
    </row>
    <row r="288" spans="1:6" x14ac:dyDescent="0.25">
      <c r="A288" s="2" t="s">
        <v>1405</v>
      </c>
      <c r="B288" s="1" t="s">
        <v>1406</v>
      </c>
      <c r="C288" s="339">
        <v>800</v>
      </c>
      <c r="D288" s="2" t="s">
        <v>976</v>
      </c>
      <c r="E288" s="2" t="s">
        <v>977</v>
      </c>
      <c r="F288" s="339">
        <v>1440</v>
      </c>
    </row>
    <row r="289" spans="1:6" x14ac:dyDescent="0.25">
      <c r="A289" s="2" t="s">
        <v>1407</v>
      </c>
      <c r="B289" s="1" t="s">
        <v>1408</v>
      </c>
      <c r="C289" s="339">
        <v>1250</v>
      </c>
      <c r="D289" s="2" t="s">
        <v>976</v>
      </c>
      <c r="E289" s="2" t="s">
        <v>977</v>
      </c>
      <c r="F289" s="339">
        <v>1625</v>
      </c>
    </row>
    <row r="290" spans="1:6" x14ac:dyDescent="0.25">
      <c r="A290" s="2" t="s">
        <v>1409</v>
      </c>
      <c r="B290" s="1" t="s">
        <v>1410</v>
      </c>
      <c r="C290" s="339">
        <v>1940</v>
      </c>
      <c r="D290" s="2" t="s">
        <v>976</v>
      </c>
      <c r="E290" s="2" t="s">
        <v>977</v>
      </c>
      <c r="F290" s="339">
        <v>2522</v>
      </c>
    </row>
    <row r="291" spans="1:6" x14ac:dyDescent="0.25">
      <c r="A291" s="2" t="s">
        <v>1411</v>
      </c>
      <c r="B291" s="1" t="s">
        <v>1412</v>
      </c>
      <c r="C291" s="339">
        <v>160</v>
      </c>
      <c r="D291" s="2" t="s">
        <v>987</v>
      </c>
      <c r="E291" s="2" t="s">
        <v>990</v>
      </c>
      <c r="F291" s="339">
        <v>52370.24</v>
      </c>
    </row>
    <row r="292" spans="1:6" x14ac:dyDescent="0.25">
      <c r="A292" s="2" t="s">
        <v>1413</v>
      </c>
      <c r="B292" s="1" t="s">
        <v>1414</v>
      </c>
      <c r="C292" s="339">
        <v>15</v>
      </c>
      <c r="D292" s="2" t="s">
        <v>987</v>
      </c>
      <c r="E292" s="2" t="s">
        <v>990</v>
      </c>
      <c r="F292" s="339">
        <v>12452.7</v>
      </c>
    </row>
    <row r="293" spans="1:6" x14ac:dyDescent="0.25">
      <c r="A293" s="2" t="s">
        <v>1415</v>
      </c>
      <c r="B293" s="1" t="s">
        <v>1416</v>
      </c>
      <c r="C293" s="339">
        <v>15</v>
      </c>
      <c r="D293" s="2" t="s">
        <v>987</v>
      </c>
      <c r="E293" s="2" t="s">
        <v>990</v>
      </c>
      <c r="F293" s="339">
        <v>10571</v>
      </c>
    </row>
    <row r="294" spans="1:6" x14ac:dyDescent="0.25">
      <c r="A294" s="2" t="s">
        <v>1417</v>
      </c>
      <c r="B294" s="1" t="s">
        <v>1418</v>
      </c>
      <c r="C294" s="339">
        <v>100</v>
      </c>
      <c r="D294" s="2" t="s">
        <v>987</v>
      </c>
      <c r="E294" s="2" t="s">
        <v>990</v>
      </c>
      <c r="F294" s="339">
        <v>17900</v>
      </c>
    </row>
    <row r="296" spans="1:6" x14ac:dyDescent="0.25">
      <c r="A296" s="335"/>
      <c r="C296" s="344" t="s">
        <v>133</v>
      </c>
      <c r="E296" s="335" t="s">
        <v>977</v>
      </c>
      <c r="F296" s="344">
        <v>48866803.57</v>
      </c>
    </row>
    <row r="297" spans="1:6" x14ac:dyDescent="0.25">
      <c r="A297" s="335"/>
      <c r="C297" s="344"/>
      <c r="E297" s="335" t="s">
        <v>990</v>
      </c>
      <c r="F297" s="344">
        <v>820852.33</v>
      </c>
    </row>
    <row r="298" spans="1:6" x14ac:dyDescent="0.25">
      <c r="A298" s="335"/>
      <c r="C298" s="344"/>
      <c r="E298" s="335" t="s">
        <v>1063</v>
      </c>
      <c r="F298" s="344">
        <v>1173.8</v>
      </c>
    </row>
  </sheetData>
  <autoFilter ref="A9:F294"/>
  <mergeCells count="1">
    <mergeCell ref="A2:F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zoomScale="100" zoomScaleNormal="100">
      <selection activeCell="P21" sqref="P21"/>
    </sheetView>
  </sheetViews>
  <sheetFormatPr defaultRowHeight="12" outlineLevelRow="0" outlineLevelCol="0" x14ac:dyDescent="0.2" defaultColWidth="11.5703125" customHeight="1"/>
  <cols>
    <col min="1" max="1" width="11.7109375" style="174" customWidth="1"/>
    <col min="2" max="2" width="15.42578125" style="174" customWidth="1"/>
    <col min="3" max="3" width="8.5703125" style="174" customWidth="1"/>
    <col min="4" max="4" width="8" style="345" customWidth="1"/>
    <col min="5" max="5" width="9" style="174" customWidth="1"/>
    <col min="6" max="6" width="10.28515625" style="174" customWidth="1"/>
    <col min="7" max="7" width="8.140625" style="174" customWidth="1"/>
    <col min="8" max="8" width="11.140625" style="174" customWidth="1"/>
    <col min="9" max="9" width="12.140625" style="174" customWidth="1"/>
    <col min="10" max="10" width="10.140625" style="174" customWidth="1"/>
    <col min="11" max="11" width="12.28515625" style="174" customWidth="1"/>
    <col min="12" max="12" width="13.85546875" style="174" customWidth="1"/>
    <col min="13" max="13" width="9.7109375" style="174" customWidth="1"/>
    <col min="14" max="14" width="9.5703125" style="174" customWidth="1"/>
    <col min="15" max="16384" width="11.5703125" style="174" customWidth="1"/>
  </cols>
  <sheetData>
    <row r="1" spans="1:14" x14ac:dyDescent="0.25">
      <c r="A1" s="346" t="s">
        <v>1419</v>
      </c>
      <c r="B1" s="346" t="s">
        <v>1420</v>
      </c>
      <c r="C1" s="346" t="s">
        <v>1421</v>
      </c>
      <c r="D1" s="347" t="s">
        <v>1422</v>
      </c>
      <c r="E1" s="346" t="s">
        <v>1423</v>
      </c>
      <c r="F1" s="346" t="s">
        <v>1424</v>
      </c>
      <c r="G1" s="346" t="s">
        <v>1425</v>
      </c>
      <c r="H1" s="346" t="s">
        <v>1426</v>
      </c>
      <c r="I1" s="346" t="s">
        <v>1427</v>
      </c>
      <c r="J1" s="346" t="s">
        <v>1428</v>
      </c>
      <c r="K1" s="346" t="s">
        <v>1429</v>
      </c>
      <c r="L1" s="346" t="s">
        <v>1430</v>
      </c>
      <c r="M1" s="346" t="s">
        <v>1431</v>
      </c>
      <c r="N1" s="346" t="s">
        <v>1432</v>
      </c>
    </row>
    <row r="2" spans="1:14" x14ac:dyDescent="0.25">
      <c r="A2" s="348" t="s">
        <v>1433</v>
      </c>
      <c r="B2" s="348" t="s">
        <v>1434</v>
      </c>
      <c r="C2" s="348" t="s">
        <v>1435</v>
      </c>
      <c r="D2" s="349">
        <v>1177</v>
      </c>
      <c r="E2" s="350">
        <f>H2/G2</f>
        <v>0.5195017692420942</v>
      </c>
      <c r="F2" s="349">
        <f>H2/D2</f>
        <v>260.82387425658453</v>
      </c>
      <c r="G2" s="349">
        <v>590931</v>
      </c>
      <c r="H2" s="349">
        <v>306989.7</v>
      </c>
      <c r="I2" s="349">
        <v>1705988.33</v>
      </c>
      <c r="J2" s="349">
        <v>21999.233</v>
      </c>
      <c r="K2" s="349">
        <v>11935.649</v>
      </c>
      <c r="L2" s="351">
        <f>(I2+J2+K2)/H2</f>
        <v>5.667692473069943</v>
      </c>
      <c r="M2" s="352">
        <v>46235</v>
      </c>
      <c r="N2" s="352">
        <v>46265</v>
      </c>
    </row>
    <row r="3" spans="1:14" x14ac:dyDescent="0.25">
      <c r="A3" s="348" t="s">
        <v>1433</v>
      </c>
      <c r="B3" s="348" t="s">
        <v>1434</v>
      </c>
      <c r="C3" s="348" t="s">
        <v>1436</v>
      </c>
      <c r="D3" s="349">
        <v>162</v>
      </c>
      <c r="E3" s="350">
        <f t="shared" ref="E3:E26" si="0">H3/G3</f>
        <v>0.5409995100440961</v>
      </c>
      <c r="F3" s="349">
        <f t="shared" ref="F3:F26" si="1">H3/D3</f>
        <v>238.55740740740742</v>
      </c>
      <c r="G3" s="349">
        <v>71435</v>
      </c>
      <c r="H3" s="349">
        <v>38646.3</v>
      </c>
      <c r="I3" s="349">
        <v>219947.885</v>
      </c>
      <c r="J3" s="349">
        <v>2754.823</v>
      </c>
      <c r="K3" s="349">
        <v>18.564</v>
      </c>
      <c r="L3" s="351">
        <f t="shared" ref="L3:L26" si="2">(I3+J3+K3)/H3</f>
        <v>5.763068443809628</v>
      </c>
      <c r="M3" s="352">
        <v>46235</v>
      </c>
      <c r="N3" s="352">
        <v>46265</v>
      </c>
    </row>
    <row r="4" spans="1:14" x14ac:dyDescent="0.25">
      <c r="A4" s="348" t="s">
        <v>1433</v>
      </c>
      <c r="B4" s="348" t="s">
        <v>1437</v>
      </c>
      <c r="C4" s="348" t="s">
        <v>1435</v>
      </c>
      <c r="D4" s="349">
        <v>129</v>
      </c>
      <c r="E4" s="350">
        <v>0.5327884761182714</v>
      </c>
      <c r="F4" s="349">
        <v>272.3829457364341</v>
      </c>
      <c r="G4" s="349">
        <v>65950</v>
      </c>
      <c r="H4" s="349">
        <v>35137.4</v>
      </c>
      <c r="I4" s="349">
        <v>204845.897</v>
      </c>
      <c r="J4" s="349">
        <v>2267.728</v>
      </c>
      <c r="K4" s="349">
        <v>0</v>
      </c>
      <c r="L4" s="351">
        <v>5.89439244224103</v>
      </c>
      <c r="M4" s="352">
        <v>46235</v>
      </c>
      <c r="N4" s="352">
        <v>46265</v>
      </c>
    </row>
    <row r="5" spans="1:14" x14ac:dyDescent="0.25">
      <c r="A5" s="348" t="s">
        <v>1433</v>
      </c>
      <c r="B5" s="348" t="s">
        <v>1438</v>
      </c>
      <c r="C5" s="348" t="s">
        <v>1435</v>
      </c>
      <c r="D5" s="349">
        <v>66</v>
      </c>
      <c r="E5" s="350">
        <v>0.5574420145791915</v>
      </c>
      <c r="F5" s="349">
        <v>318.6287878787879</v>
      </c>
      <c r="G5" s="349">
        <v>37725</v>
      </c>
      <c r="H5" s="349">
        <v>21029.5</v>
      </c>
      <c r="I5" s="349">
        <v>118714.821</v>
      </c>
      <c r="J5" s="349">
        <v>1072.404</v>
      </c>
      <c r="K5" s="349">
        <v>0</v>
      </c>
      <c r="L5" s="351">
        <v>5.696151834327967</v>
      </c>
      <c r="M5" s="352">
        <v>46235</v>
      </c>
      <c r="N5" s="352">
        <v>46265</v>
      </c>
    </row>
    <row r="6" spans="1:14" x14ac:dyDescent="0.25">
      <c r="A6" s="348" t="s">
        <v>1433</v>
      </c>
      <c r="B6" s="348" t="s">
        <v>1439</v>
      </c>
      <c r="C6" s="348" t="s">
        <v>1435</v>
      </c>
      <c r="D6" s="349">
        <v>13</v>
      </c>
      <c r="E6" s="350">
        <v>0.5467239263803682</v>
      </c>
      <c r="F6" s="349">
        <v>342.75384615384615</v>
      </c>
      <c r="G6" s="349">
        <v>8150</v>
      </c>
      <c r="H6" s="349">
        <v>4455.8</v>
      </c>
      <c r="I6" s="349">
        <v>24378.48</v>
      </c>
      <c r="J6" s="349">
        <v>317.16</v>
      </c>
      <c r="K6" s="349">
        <v>0</v>
      </c>
      <c r="L6" s="351">
        <v>5.542358274608375</v>
      </c>
      <c r="M6" s="352">
        <v>46235</v>
      </c>
      <c r="N6" s="352">
        <v>46265</v>
      </c>
    </row>
    <row r="7" spans="1:14" x14ac:dyDescent="0.25">
      <c r="A7" s="348" t="s">
        <v>1440</v>
      </c>
      <c r="B7" s="348" t="s">
        <v>1434</v>
      </c>
      <c r="C7" s="348" t="s">
        <v>1435</v>
      </c>
      <c r="D7" s="349">
        <v>1425</v>
      </c>
      <c r="E7" s="350">
        <v>0.5400566788676148</v>
      </c>
      <c r="F7" s="349">
        <v>279.7660350877193</v>
      </c>
      <c r="G7" s="349">
        <v>738194</v>
      </c>
      <c r="H7" s="349">
        <v>398666.6</v>
      </c>
      <c r="I7" s="349">
        <v>2328728.079</v>
      </c>
      <c r="J7" s="349">
        <v>24419.981</v>
      </c>
      <c r="K7" s="349">
        <v>13164.946</v>
      </c>
      <c r="L7" s="351">
        <v>5.9355687333726985</v>
      </c>
      <c r="M7" s="352">
        <v>46235</v>
      </c>
      <c r="N7" s="352">
        <v>46265</v>
      </c>
    </row>
    <row r="8" spans="1:14" x14ac:dyDescent="0.25">
      <c r="A8" s="348" t="s">
        <v>1440</v>
      </c>
      <c r="B8" s="348" t="s">
        <v>1434</v>
      </c>
      <c r="C8" s="348" t="s">
        <v>1436</v>
      </c>
      <c r="D8" s="349">
        <v>2953</v>
      </c>
      <c r="E8" s="350">
        <v>0.5518360461334048</v>
      </c>
      <c r="F8" s="349">
        <v>311.3861496782933</v>
      </c>
      <c r="G8" s="349">
        <v>1666298</v>
      </c>
      <c r="H8" s="349">
        <v>919523.3</v>
      </c>
      <c r="I8" s="349">
        <v>5640122.894</v>
      </c>
      <c r="J8" s="349">
        <v>60991.779</v>
      </c>
      <c r="K8" s="349">
        <v>7653.825</v>
      </c>
      <c r="L8" s="351">
        <v>6.208400045980347</v>
      </c>
      <c r="M8" s="352">
        <v>46235</v>
      </c>
      <c r="N8" s="352">
        <v>46265</v>
      </c>
    </row>
    <row r="9" spans="1:14" x14ac:dyDescent="0.25">
      <c r="A9" s="348" t="s">
        <v>1440</v>
      </c>
      <c r="B9" s="348" t="s">
        <v>1441</v>
      </c>
      <c r="C9" s="348" t="s">
        <v>1436</v>
      </c>
      <c r="D9" s="349">
        <v>3252</v>
      </c>
      <c r="E9" s="350">
        <v>0.5587336216002975</v>
      </c>
      <c r="F9" s="349">
        <v>289.18794587945877</v>
      </c>
      <c r="G9" s="349">
        <v>1683162</v>
      </c>
      <c r="H9" s="349">
        <v>940439.2</v>
      </c>
      <c r="I9" s="349">
        <v>5742347.05</v>
      </c>
      <c r="J9" s="349">
        <v>64967.845</v>
      </c>
      <c r="K9" s="349">
        <v>8926.187</v>
      </c>
      <c r="L9" s="351">
        <v>6.1846008567061</v>
      </c>
      <c r="M9" s="352">
        <v>46235</v>
      </c>
      <c r="N9" s="352">
        <v>46265</v>
      </c>
    </row>
    <row r="10" spans="1:14" x14ac:dyDescent="0.25">
      <c r="A10" s="348" t="s">
        <v>1440</v>
      </c>
      <c r="B10" s="348" t="s">
        <v>1437</v>
      </c>
      <c r="C10" s="348" t="s">
        <v>1435</v>
      </c>
      <c r="D10" s="349">
        <v>914</v>
      </c>
      <c r="E10" s="350">
        <v>0.5514752637934789</v>
      </c>
      <c r="F10" s="349">
        <v>304.7775711159737</v>
      </c>
      <c r="G10" s="349">
        <v>505130</v>
      </c>
      <c r="H10" s="349">
        <v>278566.7</v>
      </c>
      <c r="I10" s="349">
        <v>1707866.97</v>
      </c>
      <c r="J10" s="349">
        <v>14765.046</v>
      </c>
      <c r="K10" s="349">
        <v>4790.855</v>
      </c>
      <c r="L10" s="351">
        <v>6.2011104378233295</v>
      </c>
      <c r="M10" s="352">
        <v>46235</v>
      </c>
      <c r="N10" s="352">
        <v>46265</v>
      </c>
    </row>
    <row r="11" spans="1:14" x14ac:dyDescent="0.25">
      <c r="A11" s="348" t="s">
        <v>1440</v>
      </c>
      <c r="B11" s="348" t="s">
        <v>1438</v>
      </c>
      <c r="C11" s="348" t="s">
        <v>1436</v>
      </c>
      <c r="D11" s="349">
        <v>16</v>
      </c>
      <c r="E11" s="350">
        <v>0.5581980830670926</v>
      </c>
      <c r="F11" s="349">
        <v>272.99375</v>
      </c>
      <c r="G11" s="349">
        <v>7825</v>
      </c>
      <c r="H11" s="349">
        <v>4367.9</v>
      </c>
      <c r="I11" s="349">
        <v>26515.227</v>
      </c>
      <c r="J11" s="349">
        <v>251.045</v>
      </c>
      <c r="K11" s="349">
        <v>0</v>
      </c>
      <c r="L11" s="351">
        <v>6.127949815700909</v>
      </c>
      <c r="M11" s="352">
        <v>46235</v>
      </c>
      <c r="N11" s="352">
        <v>46265</v>
      </c>
    </row>
    <row r="12" spans="1:14" x14ac:dyDescent="0.25">
      <c r="A12" s="348" t="s">
        <v>1440</v>
      </c>
      <c r="B12" s="348" t="s">
        <v>1439</v>
      </c>
      <c r="C12" s="348" t="s">
        <v>1435</v>
      </c>
      <c r="D12" s="349">
        <v>30</v>
      </c>
      <c r="E12" s="350">
        <v>0.5675194522253346</v>
      </c>
      <c r="F12" s="349">
        <v>303.9066666666667</v>
      </c>
      <c r="G12" s="349">
        <v>16065</v>
      </c>
      <c r="H12" s="349">
        <v>9117.2</v>
      </c>
      <c r="I12" s="349">
        <v>55116.02</v>
      </c>
      <c r="J12" s="349">
        <v>620.665</v>
      </c>
      <c r="K12" s="349">
        <v>0</v>
      </c>
      <c r="L12" s="351">
        <v>6.11335552581933</v>
      </c>
      <c r="M12" s="352">
        <v>46235</v>
      </c>
      <c r="N12" s="352">
        <v>46265</v>
      </c>
    </row>
    <row r="13" spans="1:14" x14ac:dyDescent="0.25">
      <c r="A13" s="348" t="s">
        <v>1440</v>
      </c>
      <c r="B13" s="348" t="s">
        <v>1442</v>
      </c>
      <c r="C13" s="348" t="s">
        <v>1435</v>
      </c>
      <c r="D13" s="349">
        <v>65</v>
      </c>
      <c r="E13" s="350">
        <v>0.5491632292280495</v>
      </c>
      <c r="F13" s="349">
        <v>286.74769230769226</v>
      </c>
      <c r="G13" s="349">
        <v>33940</v>
      </c>
      <c r="H13" s="349">
        <v>18638.6</v>
      </c>
      <c r="I13" s="349">
        <v>108750.232</v>
      </c>
      <c r="J13" s="349">
        <v>1466.637</v>
      </c>
      <c r="K13" s="349">
        <v>1062.214</v>
      </c>
      <c r="L13" s="351">
        <v>5.970356303585034</v>
      </c>
      <c r="M13" s="352">
        <v>46235</v>
      </c>
      <c r="N13" s="352">
        <v>46265</v>
      </c>
    </row>
    <row r="14" spans="1:14" x14ac:dyDescent="0.25">
      <c r="A14" s="348" t="s">
        <v>1443</v>
      </c>
      <c r="B14" s="348" t="s">
        <v>1434</v>
      </c>
      <c r="C14" s="348" t="s">
        <v>1435</v>
      </c>
      <c r="D14" s="349">
        <v>39</v>
      </c>
      <c r="E14" s="350">
        <v>0.5341586842580879</v>
      </c>
      <c r="F14" s="349">
        <v>227.34615384615384</v>
      </c>
      <c r="G14" s="349">
        <v>16599</v>
      </c>
      <c r="H14" s="349">
        <v>8866.5</v>
      </c>
      <c r="I14" s="349">
        <v>55430.868</v>
      </c>
      <c r="J14" s="349">
        <v>605.487</v>
      </c>
      <c r="K14" s="349">
        <v>542.826</v>
      </c>
      <c r="L14" s="351">
        <v>6.38123058704111</v>
      </c>
      <c r="M14" s="352">
        <v>46235</v>
      </c>
      <c r="N14" s="352">
        <v>46265</v>
      </c>
    </row>
    <row r="15" spans="1:14" x14ac:dyDescent="0.25">
      <c r="A15" s="348" t="s">
        <v>1443</v>
      </c>
      <c r="B15" s="348" t="s">
        <v>1441</v>
      </c>
      <c r="C15" s="348" t="s">
        <v>1436</v>
      </c>
      <c r="D15" s="349">
        <v>3</v>
      </c>
      <c r="E15" s="350">
        <v>0.5612121212121212</v>
      </c>
      <c r="F15" s="349">
        <v>277.8</v>
      </c>
      <c r="G15" s="349">
        <v>1485</v>
      </c>
      <c r="H15" s="349">
        <v>833.4</v>
      </c>
      <c r="I15" s="349">
        <v>5163.466</v>
      </c>
      <c r="J15" s="349">
        <v>66.283</v>
      </c>
      <c r="K15" s="349">
        <v>50.467</v>
      </c>
      <c r="L15" s="351">
        <v>6.3357523398128155</v>
      </c>
      <c r="M15" s="352">
        <v>46235</v>
      </c>
      <c r="N15" s="352">
        <v>46265</v>
      </c>
    </row>
    <row r="16" spans="1:14" x14ac:dyDescent="0.25">
      <c r="A16" s="348" t="s">
        <v>1443</v>
      </c>
      <c r="B16" s="348" t="s">
        <v>1437</v>
      </c>
      <c r="C16" s="348" t="s">
        <v>1435</v>
      </c>
      <c r="D16" s="349">
        <v>21</v>
      </c>
      <c r="E16" s="350">
        <v>0.5267250673854448</v>
      </c>
      <c r="F16" s="349">
        <v>186.1095238095238</v>
      </c>
      <c r="G16" s="349">
        <v>7420</v>
      </c>
      <c r="H16" s="349">
        <v>3908.3</v>
      </c>
      <c r="I16" s="349">
        <v>21652.303</v>
      </c>
      <c r="J16" s="349">
        <v>226.918</v>
      </c>
      <c r="K16" s="349">
        <v>111.905</v>
      </c>
      <c r="L16" s="351">
        <v>5.626775324309802</v>
      </c>
      <c r="M16" s="352">
        <v>46235</v>
      </c>
      <c r="N16" s="352">
        <v>46265</v>
      </c>
    </row>
    <row r="17" spans="1:14" x14ac:dyDescent="0.25">
      <c r="A17" s="348" t="s">
        <v>1444</v>
      </c>
      <c r="B17" s="348" t="s">
        <v>1434</v>
      </c>
      <c r="C17" s="348" t="s">
        <v>1435</v>
      </c>
      <c r="D17" s="349">
        <v>67</v>
      </c>
      <c r="E17" s="350">
        <v>0.5356199677938808</v>
      </c>
      <c r="F17" s="349">
        <v>322.6910447761194</v>
      </c>
      <c r="G17" s="349">
        <v>40365</v>
      </c>
      <c r="H17" s="349">
        <v>21620.3</v>
      </c>
      <c r="I17" s="349">
        <v>98370.013</v>
      </c>
      <c r="J17" s="349">
        <v>1474.338</v>
      </c>
      <c r="K17" s="349">
        <v>922.181</v>
      </c>
      <c r="L17" s="351">
        <v>4.66073699254867</v>
      </c>
      <c r="M17" s="352">
        <v>46235</v>
      </c>
      <c r="N17" s="352">
        <v>46265</v>
      </c>
    </row>
    <row r="18" spans="1:14" x14ac:dyDescent="0.25">
      <c r="A18" s="348" t="s">
        <v>1444</v>
      </c>
      <c r="B18" s="348" t="s">
        <v>1434</v>
      </c>
      <c r="C18" s="348" t="s">
        <v>1436</v>
      </c>
      <c r="D18" s="349">
        <v>9</v>
      </c>
      <c r="E18" s="350">
        <v>0.5590846286701209</v>
      </c>
      <c r="F18" s="349">
        <v>359.67777777777775</v>
      </c>
      <c r="G18" s="349">
        <v>5790</v>
      </c>
      <c r="H18" s="349">
        <v>3237.1</v>
      </c>
      <c r="I18" s="349">
        <v>14046.687</v>
      </c>
      <c r="J18" s="349">
        <v>314.908</v>
      </c>
      <c r="K18" s="349">
        <v>135.958</v>
      </c>
      <c r="L18" s="351">
        <v>4.478561984492292</v>
      </c>
      <c r="M18" s="352">
        <v>46235</v>
      </c>
      <c r="N18" s="352">
        <v>46265</v>
      </c>
    </row>
    <row r="19" spans="1:14" x14ac:dyDescent="0.25">
      <c r="A19" s="348" t="s">
        <v>1444</v>
      </c>
      <c r="B19" s="348" t="s">
        <v>1439</v>
      </c>
      <c r="C19" s="348" t="s">
        <v>1435</v>
      </c>
      <c r="D19" s="349">
        <v>7</v>
      </c>
      <c r="E19" s="350">
        <v>0.6005120248254461</v>
      </c>
      <c r="F19" s="349">
        <v>552.9</v>
      </c>
      <c r="G19" s="349">
        <v>6445</v>
      </c>
      <c r="H19" s="349">
        <v>3870.3</v>
      </c>
      <c r="I19" s="349">
        <v>17892.827</v>
      </c>
      <c r="J19" s="349">
        <v>213.467</v>
      </c>
      <c r="K19" s="349">
        <v>0</v>
      </c>
      <c r="L19" s="351">
        <v>4.6782662842673695</v>
      </c>
      <c r="M19" s="352">
        <v>46235</v>
      </c>
      <c r="N19" s="352">
        <v>46265</v>
      </c>
    </row>
    <row r="20" spans="1:14" x14ac:dyDescent="0.25">
      <c r="A20" s="348" t="s">
        <v>1445</v>
      </c>
      <c r="B20" s="348" t="s">
        <v>1434</v>
      </c>
      <c r="C20" s="348" t="s">
        <v>1435</v>
      </c>
      <c r="D20" s="349">
        <v>440</v>
      </c>
      <c r="E20" s="350">
        <v>0.5466822016874247</v>
      </c>
      <c r="F20" s="349">
        <v>231.93613636363634</v>
      </c>
      <c r="G20" s="349">
        <v>186675</v>
      </c>
      <c r="H20" s="349">
        <v>102051.9</v>
      </c>
      <c r="I20" s="349">
        <v>590176.808</v>
      </c>
      <c r="J20" s="349">
        <v>6201.712</v>
      </c>
      <c r="K20" s="349">
        <v>4954.206</v>
      </c>
      <c r="L20" s="351">
        <v>5.892420680065732</v>
      </c>
      <c r="M20" s="352">
        <v>46235</v>
      </c>
      <c r="N20" s="352">
        <v>46265</v>
      </c>
    </row>
    <row r="21" spans="1:14" x14ac:dyDescent="0.25">
      <c r="A21" s="348" t="s">
        <v>1445</v>
      </c>
      <c r="B21" s="348" t="s">
        <v>1434</v>
      </c>
      <c r="C21" s="348" t="s">
        <v>1436</v>
      </c>
      <c r="D21" s="349">
        <v>613</v>
      </c>
      <c r="E21" s="350">
        <v>0.5686853902589453</v>
      </c>
      <c r="F21" s="349">
        <v>302.3393148450245</v>
      </c>
      <c r="G21" s="349">
        <v>325899</v>
      </c>
      <c r="H21" s="349">
        <v>185334</v>
      </c>
      <c r="I21" s="349">
        <v>1135595.844</v>
      </c>
      <c r="J21" s="349">
        <v>13721.689</v>
      </c>
      <c r="K21" s="349">
        <v>1948.54</v>
      </c>
      <c r="L21" s="351">
        <v>6.211844955593685</v>
      </c>
      <c r="M21" s="352">
        <v>46235</v>
      </c>
      <c r="N21" s="352">
        <v>46265</v>
      </c>
    </row>
    <row r="22" spans="1:14" x14ac:dyDescent="0.25">
      <c r="A22" s="348" t="s">
        <v>1445</v>
      </c>
      <c r="B22" s="348" t="s">
        <v>1441</v>
      </c>
      <c r="C22" s="348" t="s">
        <v>1436</v>
      </c>
      <c r="D22" s="349">
        <v>1023</v>
      </c>
      <c r="E22" s="350">
        <v>0.5547034713476678</v>
      </c>
      <c r="F22" s="349">
        <v>280.7265884652981</v>
      </c>
      <c r="G22" s="349">
        <v>517724</v>
      </c>
      <c r="H22" s="349">
        <v>287183.3</v>
      </c>
      <c r="I22" s="349">
        <v>1756137.98</v>
      </c>
      <c r="J22" s="349">
        <v>24096.233</v>
      </c>
      <c r="K22" s="349">
        <v>8149.828</v>
      </c>
      <c r="L22" s="351">
        <v>6.227326035323085</v>
      </c>
      <c r="M22" s="352">
        <v>46235</v>
      </c>
      <c r="N22" s="352">
        <v>46265</v>
      </c>
    </row>
    <row r="23" spans="1:14" x14ac:dyDescent="0.25">
      <c r="A23" s="348" t="s">
        <v>1445</v>
      </c>
      <c r="B23" s="348" t="s">
        <v>1437</v>
      </c>
      <c r="C23" s="348" t="s">
        <v>1435</v>
      </c>
      <c r="D23" s="349">
        <v>274</v>
      </c>
      <c r="E23" s="350">
        <v>0.5456261131910872</v>
      </c>
      <c r="F23" s="349">
        <v>273.9182481751825</v>
      </c>
      <c r="G23" s="349">
        <v>137555</v>
      </c>
      <c r="H23" s="349">
        <v>75053.6</v>
      </c>
      <c r="I23" s="349">
        <v>462771.442</v>
      </c>
      <c r="J23" s="349">
        <v>6106.276</v>
      </c>
      <c r="K23" s="349">
        <v>3519.001</v>
      </c>
      <c r="L23" s="351">
        <v>6.2941247188675815</v>
      </c>
      <c r="M23" s="352">
        <v>46235</v>
      </c>
      <c r="N23" s="352">
        <v>46265</v>
      </c>
    </row>
    <row r="24" spans="1:14" x14ac:dyDescent="0.25">
      <c r="A24" s="348" t="s">
        <v>1445</v>
      </c>
      <c r="B24" s="348" t="s">
        <v>1438</v>
      </c>
      <c r="C24" s="348" t="s">
        <v>1436</v>
      </c>
      <c r="D24" s="349">
        <v>9</v>
      </c>
      <c r="E24" s="350">
        <v>0.5648917197452229</v>
      </c>
      <c r="F24" s="349">
        <v>246.35555555555553</v>
      </c>
      <c r="G24" s="349">
        <v>3925</v>
      </c>
      <c r="H24" s="349">
        <v>2217.2</v>
      </c>
      <c r="I24" s="349">
        <v>13342.653</v>
      </c>
      <c r="J24" s="349">
        <v>125.923</v>
      </c>
      <c r="K24" s="349">
        <v>0</v>
      </c>
      <c r="L24" s="351">
        <v>6.074587768356486</v>
      </c>
      <c r="M24" s="352">
        <v>46235</v>
      </c>
      <c r="N24" s="352">
        <v>46265</v>
      </c>
    </row>
    <row r="25" spans="1:14" x14ac:dyDescent="0.25">
      <c r="A25" s="353" t="s">
        <v>1445</v>
      </c>
      <c r="B25" s="353" t="s">
        <v>1439</v>
      </c>
      <c r="C25" s="353" t="s">
        <v>1435</v>
      </c>
      <c r="D25" s="354">
        <v>18</v>
      </c>
      <c r="E25" s="355">
        <v>0.5596806167400881</v>
      </c>
      <c r="F25" s="354">
        <v>282.3277777777778</v>
      </c>
      <c r="G25" s="354">
        <v>9080</v>
      </c>
      <c r="H25" s="354">
        <v>5081.9</v>
      </c>
      <c r="I25" s="354">
        <v>30631.422</v>
      </c>
      <c r="J25" s="354">
        <v>346.416</v>
      </c>
      <c r="K25" s="354">
        <v>0</v>
      </c>
      <c r="L25" s="356">
        <v>6.095719711131664</v>
      </c>
      <c r="M25" s="357">
        <v>46235</v>
      </c>
      <c r="N25" s="357">
        <v>46265</v>
      </c>
    </row>
    <row r="26" spans="1:14" x14ac:dyDescent="0.25">
      <c r="A26" s="358"/>
      <c r="B26" s="358" t="s">
        <v>1446</v>
      </c>
      <c r="C26" s="358"/>
      <c r="D26" s="359">
        <f>SUM(D2:D25)</f>
        <v>12725</v>
      </c>
      <c r="E26" s="360">
        <v>0.549815096785989</v>
      </c>
      <c r="F26" s="361">
        <v>288.78868369351665</v>
      </c>
      <c r="G26" s="359">
        <f>SUM(G2:G25)</f>
        <v>6683767</v>
      </c>
      <c r="H26" s="359">
        <f t="shared" ref="H26:K26" si="3">SUM(H2:H25)</f>
        <v>3674835.9999999995</v>
      </c>
      <c r="I26" s="359">
        <v>22084534.198</v>
      </c>
      <c r="J26" s="359">
        <v>249393.99600000004</v>
      </c>
      <c r="K26" s="359">
        <v>67887.15199999999</v>
      </c>
      <c r="L26" s="362">
        <v>6.0960041063056964</v>
      </c>
      <c r="M26" s="358"/>
      <c r="N26" s="358"/>
    </row>
    <row r="29" spans="2:2" x14ac:dyDescent="0.25">
      <c r="B29" s="174" t="s">
        <v>1447</v>
      </c>
    </row>
    <row r="30" spans="1:14" x14ac:dyDescent="0.25">
      <c r="A30" s="346" t="s">
        <v>1419</v>
      </c>
      <c r="B30" s="346" t="s">
        <v>1420</v>
      </c>
      <c r="C30" s="346" t="s">
        <v>1421</v>
      </c>
      <c r="D30" s="347" t="s">
        <v>1422</v>
      </c>
      <c r="E30" s="346" t="s">
        <v>1423</v>
      </c>
      <c r="F30" s="346" t="s">
        <v>1424</v>
      </c>
      <c r="G30" s="346" t="s">
        <v>1425</v>
      </c>
      <c r="H30" s="346" t="s">
        <v>1426</v>
      </c>
      <c r="I30" s="346" t="s">
        <v>1427</v>
      </c>
      <c r="J30" s="346" t="s">
        <v>1428</v>
      </c>
      <c r="K30" s="346" t="s">
        <v>1429</v>
      </c>
      <c r="L30" s="346" t="s">
        <v>1430</v>
      </c>
      <c r="M30" s="346" t="s">
        <v>1431</v>
      </c>
      <c r="N30" s="346" t="s">
        <v>1432</v>
      </c>
    </row>
    <row r="31" spans="1:14" x14ac:dyDescent="0.25">
      <c r="A31" s="348" t="s">
        <v>1433</v>
      </c>
      <c r="B31" s="348" t="s">
        <v>1434</v>
      </c>
      <c r="C31" s="348" t="s">
        <v>1436</v>
      </c>
      <c r="D31" s="349">
        <v>162</v>
      </c>
      <c r="E31" s="350">
        <f t="shared" ref="E31:E44" si="4">H31/G31</f>
        <v>0.5409995100440961</v>
      </c>
      <c r="F31" s="349">
        <f t="shared" ref="F31:F44" si="5">H31/D31</f>
        <v>238.55740740740742</v>
      </c>
      <c r="G31" s="349">
        <v>71435</v>
      </c>
      <c r="H31" s="349">
        <v>38646.3</v>
      </c>
      <c r="I31" s="349">
        <v>219947.885</v>
      </c>
      <c r="J31" s="349">
        <v>2754.823</v>
      </c>
      <c r="K31" s="349">
        <v>18.564</v>
      </c>
      <c r="L31" s="351">
        <f t="shared" ref="L31:L44" si="6">(I31+J31+K31)/H31</f>
        <v>5.763068443809628</v>
      </c>
      <c r="M31" s="352">
        <v>46235</v>
      </c>
      <c r="N31" s="352">
        <v>46265</v>
      </c>
    </row>
    <row r="32" spans="1:14" x14ac:dyDescent="0.25">
      <c r="A32" s="348" t="s">
        <v>1433</v>
      </c>
      <c r="B32" s="348" t="s">
        <v>1437</v>
      </c>
      <c r="C32" s="348" t="s">
        <v>1435</v>
      </c>
      <c r="D32" s="349">
        <v>129</v>
      </c>
      <c r="E32" s="350">
        <v>0.5327884761182714</v>
      </c>
      <c r="F32" s="349">
        <v>272.3829457364341</v>
      </c>
      <c r="G32" s="349">
        <v>65950</v>
      </c>
      <c r="H32" s="349">
        <v>35137.4</v>
      </c>
      <c r="I32" s="349">
        <v>204845.897</v>
      </c>
      <c r="J32" s="349">
        <v>2267.728</v>
      </c>
      <c r="K32" s="349">
        <v>0</v>
      </c>
      <c r="L32" s="351">
        <v>5.89439244224103</v>
      </c>
      <c r="M32" s="352">
        <v>46235</v>
      </c>
      <c r="N32" s="352">
        <v>46265</v>
      </c>
    </row>
    <row r="33" spans="1:14" x14ac:dyDescent="0.25">
      <c r="A33" s="348" t="s">
        <v>1440</v>
      </c>
      <c r="B33" s="348" t="s">
        <v>1434</v>
      </c>
      <c r="C33" s="348" t="s">
        <v>1436</v>
      </c>
      <c r="D33" s="349">
        <v>2953</v>
      </c>
      <c r="E33" s="350">
        <v>0.5518360461334048</v>
      </c>
      <c r="F33" s="349">
        <v>311.3861496782933</v>
      </c>
      <c r="G33" s="349">
        <v>1666298</v>
      </c>
      <c r="H33" s="349">
        <v>919523.3</v>
      </c>
      <c r="I33" s="349">
        <v>5640122.894</v>
      </c>
      <c r="J33" s="349">
        <v>60991.779</v>
      </c>
      <c r="K33" s="349">
        <v>7653.825</v>
      </c>
      <c r="L33" s="351">
        <v>6.208400045980347</v>
      </c>
      <c r="M33" s="352">
        <v>46235</v>
      </c>
      <c r="N33" s="352">
        <v>46265</v>
      </c>
    </row>
    <row r="34" spans="1:14" x14ac:dyDescent="0.25">
      <c r="A34" s="348" t="s">
        <v>1440</v>
      </c>
      <c r="B34" s="348" t="s">
        <v>1441</v>
      </c>
      <c r="C34" s="348" t="s">
        <v>1436</v>
      </c>
      <c r="D34" s="349">
        <v>3252</v>
      </c>
      <c r="E34" s="350">
        <v>0.5587336216002975</v>
      </c>
      <c r="F34" s="349">
        <v>289.18794587945877</v>
      </c>
      <c r="G34" s="349">
        <v>1683162</v>
      </c>
      <c r="H34" s="349">
        <v>940439.2</v>
      </c>
      <c r="I34" s="349">
        <v>5742347.05</v>
      </c>
      <c r="J34" s="349">
        <v>64967.845</v>
      </c>
      <c r="K34" s="349">
        <v>8926.187</v>
      </c>
      <c r="L34" s="351">
        <v>6.1846008567061</v>
      </c>
      <c r="M34" s="352">
        <v>46235</v>
      </c>
      <c r="N34" s="352">
        <v>46265</v>
      </c>
    </row>
    <row r="35" spans="1:14" x14ac:dyDescent="0.25">
      <c r="A35" s="348" t="s">
        <v>1440</v>
      </c>
      <c r="B35" s="348" t="s">
        <v>1437</v>
      </c>
      <c r="C35" s="348" t="s">
        <v>1435</v>
      </c>
      <c r="D35" s="349">
        <v>914</v>
      </c>
      <c r="E35" s="350">
        <v>0.5514752637934789</v>
      </c>
      <c r="F35" s="349">
        <v>304.7775711159737</v>
      </c>
      <c r="G35" s="349">
        <v>505130</v>
      </c>
      <c r="H35" s="349">
        <v>278566.7</v>
      </c>
      <c r="I35" s="349">
        <v>1707866.97</v>
      </c>
      <c r="J35" s="349">
        <v>14765.046</v>
      </c>
      <c r="K35" s="349">
        <v>4790.855</v>
      </c>
      <c r="L35" s="351">
        <v>6.2011104378233295</v>
      </c>
      <c r="M35" s="352">
        <v>46235</v>
      </c>
      <c r="N35" s="352">
        <v>46265</v>
      </c>
    </row>
    <row r="36" spans="1:14" x14ac:dyDescent="0.25">
      <c r="A36" s="348" t="s">
        <v>1440</v>
      </c>
      <c r="B36" s="348" t="s">
        <v>1438</v>
      </c>
      <c r="C36" s="348" t="s">
        <v>1436</v>
      </c>
      <c r="D36" s="349">
        <v>16</v>
      </c>
      <c r="E36" s="350">
        <v>0.5581980830670926</v>
      </c>
      <c r="F36" s="349">
        <v>272.99375</v>
      </c>
      <c r="G36" s="349">
        <v>7825</v>
      </c>
      <c r="H36" s="349">
        <v>4367.9</v>
      </c>
      <c r="I36" s="349">
        <v>26515.227</v>
      </c>
      <c r="J36" s="349">
        <v>251.045</v>
      </c>
      <c r="K36" s="349">
        <v>0</v>
      </c>
      <c r="L36" s="351">
        <v>6.127949815700909</v>
      </c>
      <c r="M36" s="352">
        <v>46235</v>
      </c>
      <c r="N36" s="352">
        <v>46265</v>
      </c>
    </row>
    <row r="37" spans="1:14" x14ac:dyDescent="0.25">
      <c r="A37" s="348" t="s">
        <v>1440</v>
      </c>
      <c r="B37" s="348" t="s">
        <v>1439</v>
      </c>
      <c r="C37" s="348" t="s">
        <v>1435</v>
      </c>
      <c r="D37" s="349">
        <v>30</v>
      </c>
      <c r="E37" s="350">
        <v>0.5675194522253346</v>
      </c>
      <c r="F37" s="349">
        <v>303.9066666666667</v>
      </c>
      <c r="G37" s="349">
        <v>16065</v>
      </c>
      <c r="H37" s="349">
        <v>9117.2</v>
      </c>
      <c r="I37" s="349">
        <v>55116.02</v>
      </c>
      <c r="J37" s="349">
        <v>620.665</v>
      </c>
      <c r="K37" s="349">
        <v>0</v>
      </c>
      <c r="L37" s="351">
        <v>6.11335552581933</v>
      </c>
      <c r="M37" s="352">
        <v>46235</v>
      </c>
      <c r="N37" s="352">
        <v>46265</v>
      </c>
    </row>
    <row r="38" spans="1:14" x14ac:dyDescent="0.25">
      <c r="A38" s="348" t="s">
        <v>1443</v>
      </c>
      <c r="B38" s="348" t="s">
        <v>1441</v>
      </c>
      <c r="C38" s="348" t="s">
        <v>1436</v>
      </c>
      <c r="D38" s="349">
        <v>3</v>
      </c>
      <c r="E38" s="350">
        <v>0.5612121212121212</v>
      </c>
      <c r="F38" s="349">
        <v>277.8</v>
      </c>
      <c r="G38" s="349">
        <v>1485</v>
      </c>
      <c r="H38" s="349">
        <v>833.4</v>
      </c>
      <c r="I38" s="349">
        <v>5163.466</v>
      </c>
      <c r="J38" s="349">
        <v>66.283</v>
      </c>
      <c r="K38" s="349">
        <v>50.467</v>
      </c>
      <c r="L38" s="351">
        <v>6.3357523398128155</v>
      </c>
      <c r="M38" s="352">
        <v>46235</v>
      </c>
      <c r="N38" s="352">
        <v>46265</v>
      </c>
    </row>
    <row r="39" spans="1:14" x14ac:dyDescent="0.25">
      <c r="A39" s="348" t="s">
        <v>1443</v>
      </c>
      <c r="B39" s="348" t="s">
        <v>1437</v>
      </c>
      <c r="C39" s="348" t="s">
        <v>1435</v>
      </c>
      <c r="D39" s="349">
        <v>21</v>
      </c>
      <c r="E39" s="350">
        <v>0.5267250673854448</v>
      </c>
      <c r="F39" s="349">
        <v>186.1095238095238</v>
      </c>
      <c r="G39" s="349">
        <v>7420</v>
      </c>
      <c r="H39" s="349">
        <v>3908.3</v>
      </c>
      <c r="I39" s="349">
        <v>21652.303</v>
      </c>
      <c r="J39" s="349">
        <v>226.918</v>
      </c>
      <c r="K39" s="349">
        <v>111.905</v>
      </c>
      <c r="L39" s="351">
        <v>5.626775324309802</v>
      </c>
      <c r="M39" s="352">
        <v>46235</v>
      </c>
      <c r="N39" s="352">
        <v>46265</v>
      </c>
    </row>
    <row r="40" spans="1:14" x14ac:dyDescent="0.25">
      <c r="A40" s="348" t="s">
        <v>1444</v>
      </c>
      <c r="B40" s="348" t="s">
        <v>1439</v>
      </c>
      <c r="C40" s="348" t="s">
        <v>1435</v>
      </c>
      <c r="D40" s="349">
        <v>7</v>
      </c>
      <c r="E40" s="350">
        <v>0.6005120248254461</v>
      </c>
      <c r="F40" s="349">
        <v>552.9</v>
      </c>
      <c r="G40" s="349">
        <v>6445</v>
      </c>
      <c r="H40" s="349">
        <v>3870.3</v>
      </c>
      <c r="I40" s="349">
        <v>17892.827</v>
      </c>
      <c r="J40" s="349">
        <v>213.467</v>
      </c>
      <c r="K40" s="349">
        <v>0</v>
      </c>
      <c r="L40" s="351">
        <v>4.6782662842673695</v>
      </c>
      <c r="M40" s="352">
        <v>46235</v>
      </c>
      <c r="N40" s="352">
        <v>46265</v>
      </c>
    </row>
    <row r="41" spans="1:14" x14ac:dyDescent="0.25">
      <c r="A41" s="348" t="s">
        <v>1445</v>
      </c>
      <c r="B41" s="348" t="s">
        <v>1441</v>
      </c>
      <c r="C41" s="348" t="s">
        <v>1436</v>
      </c>
      <c r="D41" s="349">
        <v>1023</v>
      </c>
      <c r="E41" s="350">
        <v>0.5547034713476678</v>
      </c>
      <c r="F41" s="349">
        <v>280.7265884652981</v>
      </c>
      <c r="G41" s="349">
        <v>517724</v>
      </c>
      <c r="H41" s="349">
        <v>287183.3</v>
      </c>
      <c r="I41" s="349">
        <v>1756137.98</v>
      </c>
      <c r="J41" s="349">
        <v>24096.233</v>
      </c>
      <c r="K41" s="349">
        <v>8149.828</v>
      </c>
      <c r="L41" s="351">
        <v>6.227326035323085</v>
      </c>
      <c r="M41" s="352">
        <v>46235</v>
      </c>
      <c r="N41" s="352">
        <v>46265</v>
      </c>
    </row>
    <row r="42" spans="1:14" x14ac:dyDescent="0.25">
      <c r="A42" s="348" t="s">
        <v>1445</v>
      </c>
      <c r="B42" s="348" t="s">
        <v>1437</v>
      </c>
      <c r="C42" s="348" t="s">
        <v>1435</v>
      </c>
      <c r="D42" s="349">
        <v>274</v>
      </c>
      <c r="E42" s="350">
        <v>0.5456261131910872</v>
      </c>
      <c r="F42" s="349">
        <v>273.9182481751825</v>
      </c>
      <c r="G42" s="349">
        <v>137555</v>
      </c>
      <c r="H42" s="349">
        <v>75053.6</v>
      </c>
      <c r="I42" s="349">
        <v>462771.442</v>
      </c>
      <c r="J42" s="349">
        <v>6106.276</v>
      </c>
      <c r="K42" s="349">
        <v>3519.001</v>
      </c>
      <c r="L42" s="351">
        <v>6.2941247188675815</v>
      </c>
      <c r="M42" s="352">
        <v>46235</v>
      </c>
      <c r="N42" s="352">
        <v>46265</v>
      </c>
    </row>
    <row r="43" spans="1:14" x14ac:dyDescent="0.25">
      <c r="A43" s="353" t="s">
        <v>1445</v>
      </c>
      <c r="B43" s="353" t="s">
        <v>1439</v>
      </c>
      <c r="C43" s="353" t="s">
        <v>1435</v>
      </c>
      <c r="D43" s="354">
        <v>18</v>
      </c>
      <c r="E43" s="355">
        <v>0.5596806167400881</v>
      </c>
      <c r="F43" s="354">
        <v>282.3277777777778</v>
      </c>
      <c r="G43" s="354">
        <v>9080</v>
      </c>
      <c r="H43" s="354">
        <v>5081.9</v>
      </c>
      <c r="I43" s="354">
        <v>30631.422</v>
      </c>
      <c r="J43" s="354">
        <v>346.416</v>
      </c>
      <c r="K43" s="354">
        <v>0</v>
      </c>
      <c r="L43" s="356">
        <v>6.095719711131664</v>
      </c>
      <c r="M43" s="357">
        <v>46235</v>
      </c>
      <c r="N43" s="357">
        <v>46265</v>
      </c>
    </row>
    <row r="44" spans="1:15" x14ac:dyDescent="0.25">
      <c r="A44" s="358"/>
      <c r="B44" s="358" t="s">
        <v>1446</v>
      </c>
      <c r="C44" s="358"/>
      <c r="D44" s="359">
        <f>SUM(D31:D43)</f>
        <v>8802</v>
      </c>
      <c r="E44" s="360">
        <v>0.5540810984982878</v>
      </c>
      <c r="F44" s="361">
        <v>295.5838218586684</v>
      </c>
      <c r="G44" s="359">
        <f>SUM(G31:G43)</f>
        <v>4695574</v>
      </c>
      <c r="H44" s="359">
        <f>SUM(H31:H43)</f>
        <v>2601728.7999999993</v>
      </c>
      <c r="I44" s="359">
        <f>SUM(I31:I43)</f>
        <v>15891011.383</v>
      </c>
      <c r="J44" s="359">
        <f>SUM(J31:J43)</f>
        <v>177674.52400000003</v>
      </c>
      <c r="K44" s="359">
        <f>SUM(K31:K43)</f>
        <v>33220.632</v>
      </c>
      <c r="L44" s="362">
        <v>6.188925816941413</v>
      </c>
      <c r="M44" s="358"/>
      <c r="N44" s="358"/>
      <c r="O44" s="362">
        <f>L44*0.95</f>
        <v>5.879479526094342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workbookViewId="0" zoomScale="100" zoomScaleNormal="100">
      <selection activeCell="D146" sqref="D146"/>
    </sheetView>
  </sheetViews>
  <sheetFormatPr defaultRowHeight="15" outlineLevelRow="0" outlineLevelCol="0" x14ac:dyDescent="0.25"/>
  <cols>
    <col min="1" max="1" width="19" style="107" customWidth="1"/>
    <col min="2" max="2" width="66.7109375" customWidth="1"/>
    <col min="3" max="3" width="24.7109375" style="363" customWidth="1"/>
    <col min="4" max="4" width="34.28515625" style="363" customWidth="1"/>
  </cols>
  <sheetData>
    <row r="1" spans="1:4" x14ac:dyDescent="0.25">
      <c r="A1" s="364" t="s">
        <v>492</v>
      </c>
      <c r="B1" s="365" t="s">
        <v>1448</v>
      </c>
      <c r="C1" s="366" t="s">
        <v>1449</v>
      </c>
      <c r="D1" s="366" t="s">
        <v>1450</v>
      </c>
    </row>
    <row r="2" spans="1:4" x14ac:dyDescent="0.25">
      <c r="A2" s="367">
        <v>13390</v>
      </c>
      <c r="B2" s="368" t="s">
        <v>479</v>
      </c>
      <c r="C2" s="369">
        <v>0.0514637934848722</v>
      </c>
      <c r="D2" s="369">
        <v>0.0530077072894183</v>
      </c>
    </row>
    <row r="3" spans="1:4" x14ac:dyDescent="0.25">
      <c r="A3" s="367">
        <v>436031</v>
      </c>
      <c r="B3" s="368" t="s">
        <v>470</v>
      </c>
      <c r="C3" s="369">
        <v>0.222732777565196</v>
      </c>
      <c r="D3" s="369">
        <v>0.229414760892152</v>
      </c>
    </row>
    <row r="4" spans="1:4" x14ac:dyDescent="0.25">
      <c r="A4" s="367">
        <v>436035</v>
      </c>
      <c r="B4" s="368" t="s">
        <v>618</v>
      </c>
      <c r="C4" s="369">
        <v>0.139508219975518</v>
      </c>
      <c r="D4" s="369">
        <v>0.143693466574784</v>
      </c>
    </row>
    <row r="5" spans="1:4" x14ac:dyDescent="0.25">
      <c r="A5" s="367">
        <v>436051</v>
      </c>
      <c r="B5" s="368" t="s">
        <v>673</v>
      </c>
      <c r="C5" s="369">
        <v>0.257774851590869</v>
      </c>
      <c r="D5" s="369">
        <v>0.265508097138595</v>
      </c>
    </row>
    <row r="6" spans="1:4" x14ac:dyDescent="0.25">
      <c r="A6" s="367">
        <v>436070</v>
      </c>
      <c r="B6" s="368" t="s">
        <v>704</v>
      </c>
      <c r="C6" s="369">
        <v>0.524554246595913</v>
      </c>
      <c r="D6" s="369">
        <v>0.54029087399379</v>
      </c>
    </row>
    <row r="7" spans="1:4" x14ac:dyDescent="0.25">
      <c r="A7" s="367">
        <v>436123</v>
      </c>
      <c r="B7" s="368" t="s">
        <v>732</v>
      </c>
      <c r="C7" s="369">
        <v>0.198996187267753</v>
      </c>
      <c r="D7" s="369">
        <v>0.204966072885786</v>
      </c>
    </row>
    <row r="8" spans="1:4" x14ac:dyDescent="0.25">
      <c r="A8" s="367">
        <v>436124</v>
      </c>
      <c r="B8" s="368" t="s">
        <v>617</v>
      </c>
      <c r="C8" s="369">
        <v>0.148012183044796</v>
      </c>
      <c r="D8" s="369">
        <v>0.15245254853614</v>
      </c>
    </row>
    <row r="9" spans="1:4" x14ac:dyDescent="0.25">
      <c r="A9" s="367">
        <v>436129</v>
      </c>
      <c r="B9" s="368" t="s">
        <v>767</v>
      </c>
      <c r="C9" s="369">
        <v>0.169047992178819</v>
      </c>
      <c r="D9" s="369">
        <v>0.174119431944183</v>
      </c>
    </row>
    <row r="10" spans="1:4" x14ac:dyDescent="0.25">
      <c r="A10" s="367">
        <v>436130</v>
      </c>
      <c r="B10" s="368" t="s">
        <v>778</v>
      </c>
      <c r="C10" s="369">
        <v>0.229666842192868</v>
      </c>
      <c r="D10" s="369">
        <v>0.236556847458654</v>
      </c>
    </row>
    <row r="11" spans="1:4" x14ac:dyDescent="0.25">
      <c r="A11" s="367">
        <v>436132</v>
      </c>
      <c r="B11" s="368" t="s">
        <v>792</v>
      </c>
      <c r="C11" s="369">
        <v>0.287860183362301</v>
      </c>
      <c r="D11" s="369">
        <v>0.29649598886317</v>
      </c>
    </row>
    <row r="12" spans="1:4" x14ac:dyDescent="0.25">
      <c r="A12" s="367">
        <v>436225</v>
      </c>
      <c r="B12" s="368" t="s">
        <v>809</v>
      </c>
      <c r="C12" s="369">
        <v>0.167503788582589</v>
      </c>
      <c r="D12" s="369">
        <v>0.172528902240067</v>
      </c>
    </row>
    <row r="13" spans="1:4" x14ac:dyDescent="0.25">
      <c r="A13" s="367">
        <v>436229</v>
      </c>
      <c r="B13" s="368" t="s">
        <v>820</v>
      </c>
      <c r="C13" s="369">
        <v>0.18862550677663</v>
      </c>
      <c r="D13" s="369">
        <v>0.194284271979929</v>
      </c>
    </row>
    <row r="14" spans="1:4" x14ac:dyDescent="0.25">
      <c r="A14" s="367">
        <v>436330</v>
      </c>
      <c r="B14" s="368" t="s">
        <v>791</v>
      </c>
      <c r="C14" s="369">
        <v>0.242807999985318</v>
      </c>
      <c r="D14" s="369">
        <v>0.250092239984877</v>
      </c>
    </row>
    <row r="15" spans="1:4" x14ac:dyDescent="0.25">
      <c r="A15" s="367">
        <v>436331</v>
      </c>
      <c r="B15" s="368" t="s">
        <v>836</v>
      </c>
      <c r="C15" s="369">
        <v>0.174755979824422</v>
      </c>
      <c r="D15" s="369">
        <v>0.179998659219155</v>
      </c>
    </row>
    <row r="16" spans="1:4" x14ac:dyDescent="0.25">
      <c r="A16" s="367">
        <v>436338</v>
      </c>
      <c r="B16" s="368" t="s">
        <v>846</v>
      </c>
      <c r="C16" s="369">
        <v>0.19908424285721</v>
      </c>
      <c r="D16" s="369">
        <v>0.205056770142926</v>
      </c>
    </row>
    <row r="17" spans="1:4" x14ac:dyDescent="0.25">
      <c r="A17" s="367">
        <v>436416</v>
      </c>
      <c r="B17" s="368" t="s">
        <v>852</v>
      </c>
      <c r="C17" s="369">
        <v>0.350175143758995</v>
      </c>
      <c r="D17" s="369">
        <v>0.360680398071765</v>
      </c>
    </row>
    <row r="18" spans="1:4" x14ac:dyDescent="0.25">
      <c r="A18" s="367">
        <v>436438</v>
      </c>
      <c r="B18" s="368" t="s">
        <v>858</v>
      </c>
      <c r="C18" s="369">
        <v>0.207362717001524</v>
      </c>
      <c r="D18" s="369">
        <v>0.213583598511569</v>
      </c>
    </row>
    <row r="19" spans="1:4" x14ac:dyDescent="0.25">
      <c r="A19" s="367">
        <v>436516</v>
      </c>
      <c r="B19" s="368" t="s">
        <v>863</v>
      </c>
      <c r="C19" s="369">
        <v>0.216549197384805</v>
      </c>
      <c r="D19" s="369">
        <v>0.223045673306349</v>
      </c>
    </row>
    <row r="20" spans="1:4" x14ac:dyDescent="0.25">
      <c r="A20" s="367">
        <v>437016</v>
      </c>
      <c r="B20" s="368" t="s">
        <v>469</v>
      </c>
      <c r="C20" s="369">
        <v>0.177455769310866</v>
      </c>
      <c r="D20" s="369">
        <v>0.182779442390192</v>
      </c>
    </row>
    <row r="21" spans="1:4" x14ac:dyDescent="0.25">
      <c r="A21" s="367">
        <v>437024</v>
      </c>
      <c r="B21" s="368" t="s">
        <v>617</v>
      </c>
      <c r="C21" s="369">
        <v>0.317257986606839</v>
      </c>
      <c r="D21" s="369">
        <v>0.326775726205044</v>
      </c>
    </row>
    <row r="22" spans="1:4" x14ac:dyDescent="0.25">
      <c r="A22" s="367">
        <v>437025</v>
      </c>
      <c r="B22" s="368" t="s">
        <v>672</v>
      </c>
      <c r="C22" s="369">
        <v>0.250179464764206</v>
      </c>
      <c r="D22" s="369">
        <v>0.257684848707132</v>
      </c>
    </row>
    <row r="23" spans="1:4" x14ac:dyDescent="0.25">
      <c r="A23" s="367">
        <v>437030</v>
      </c>
      <c r="B23" s="368" t="s">
        <v>703</v>
      </c>
      <c r="C23" s="369">
        <v>0.287581314997177</v>
      </c>
      <c r="D23" s="369">
        <v>0.296208754447092</v>
      </c>
    </row>
    <row r="24" spans="1:4" x14ac:dyDescent="0.25">
      <c r="A24" s="367">
        <v>437031</v>
      </c>
      <c r="B24" s="368" t="s">
        <v>621</v>
      </c>
      <c r="C24" s="369">
        <v>0.196612926225107</v>
      </c>
      <c r="D24" s="369">
        <v>0.20251131401186</v>
      </c>
    </row>
    <row r="25" spans="1:4" x14ac:dyDescent="0.25">
      <c r="A25" s="367">
        <v>437033</v>
      </c>
      <c r="B25" s="368" t="s">
        <v>751</v>
      </c>
      <c r="C25" s="369">
        <v>0.247425153128007</v>
      </c>
      <c r="D25" s="369">
        <v>0.254847907721848</v>
      </c>
    </row>
    <row r="26" spans="1:4" x14ac:dyDescent="0.25">
      <c r="A26" s="367">
        <v>437060</v>
      </c>
      <c r="B26" s="368" t="s">
        <v>766</v>
      </c>
      <c r="C26" s="369">
        <v>0.293914523008852</v>
      </c>
      <c r="D26" s="369">
        <v>0.302731958699117</v>
      </c>
    </row>
    <row r="27" spans="1:4" x14ac:dyDescent="0.25">
      <c r="A27" s="367">
        <v>437229</v>
      </c>
      <c r="B27" s="368" t="s">
        <v>777</v>
      </c>
      <c r="C27" s="369">
        <v>0.203322720567095</v>
      </c>
      <c r="D27" s="369">
        <v>0.209422402184108</v>
      </c>
    </row>
    <row r="28" spans="1:4" x14ac:dyDescent="0.25">
      <c r="A28" s="367">
        <v>437330</v>
      </c>
      <c r="B28" s="368" t="s">
        <v>791</v>
      </c>
      <c r="C28" s="369">
        <v>0.262151820004628</v>
      </c>
      <c r="D28" s="369">
        <v>0.270016374604767</v>
      </c>
    </row>
    <row r="29" spans="1:4" x14ac:dyDescent="0.25">
      <c r="A29" s="367">
        <v>437516</v>
      </c>
      <c r="B29" s="368" t="s">
        <v>808</v>
      </c>
      <c r="C29" s="369">
        <v>0.182386319857564</v>
      </c>
      <c r="D29" s="369">
        <v>0.187857909453291</v>
      </c>
    </row>
    <row r="30" spans="1:4" x14ac:dyDescent="0.25">
      <c r="A30" s="367">
        <v>437660</v>
      </c>
      <c r="B30" s="368" t="s">
        <v>819</v>
      </c>
      <c r="C30" s="369">
        <v>0.325566856255959</v>
      </c>
      <c r="D30" s="369">
        <v>0.335333861943638</v>
      </c>
    </row>
    <row r="31" spans="1:4" x14ac:dyDescent="0.25">
      <c r="A31" s="367">
        <v>437732</v>
      </c>
      <c r="B31" s="368" t="s">
        <v>828</v>
      </c>
      <c r="C31" s="369">
        <v>0.238237913362075</v>
      </c>
      <c r="D31" s="369">
        <v>0.245385050762938</v>
      </c>
    </row>
    <row r="32" spans="1:4" x14ac:dyDescent="0.25">
      <c r="A32" s="367">
        <v>437738</v>
      </c>
      <c r="B32" s="368" t="s">
        <v>835</v>
      </c>
      <c r="C32" s="369">
        <v>0.184903380134716</v>
      </c>
      <c r="D32" s="369">
        <v>0.190450481538758</v>
      </c>
    </row>
    <row r="33" spans="1:4" x14ac:dyDescent="0.25">
      <c r="A33" s="367">
        <v>437832</v>
      </c>
      <c r="B33" s="368" t="s">
        <v>845</v>
      </c>
      <c r="C33" s="369">
        <v>0.276382156836228</v>
      </c>
      <c r="D33" s="369">
        <v>0.284673621541315</v>
      </c>
    </row>
    <row r="34" spans="1:4" x14ac:dyDescent="0.25">
      <c r="A34" s="367">
        <v>437860</v>
      </c>
      <c r="B34" s="368" t="s">
        <v>851</v>
      </c>
      <c r="C34" s="369">
        <v>0.250361971684559</v>
      </c>
      <c r="D34" s="369">
        <v>0.257872830835096</v>
      </c>
    </row>
    <row r="35" spans="1:4" x14ac:dyDescent="0.25">
      <c r="A35" s="367">
        <v>437960</v>
      </c>
      <c r="B35" s="368" t="s">
        <v>857</v>
      </c>
      <c r="C35" s="369">
        <v>0.247818920385777</v>
      </c>
      <c r="D35" s="369">
        <v>0.25525348799735</v>
      </c>
    </row>
    <row r="36" spans="1:4" x14ac:dyDescent="0.25">
      <c r="A36" s="367">
        <v>439010</v>
      </c>
      <c r="B36" s="368" t="s">
        <v>468</v>
      </c>
      <c r="C36" s="369">
        <v>0.387711141319626</v>
      </c>
      <c r="D36" s="369">
        <v>0.399342475559215</v>
      </c>
    </row>
    <row r="37" spans="1:4" x14ac:dyDescent="0.25">
      <c r="A37" s="367">
        <v>439011</v>
      </c>
      <c r="B37" s="368" t="s">
        <v>630</v>
      </c>
      <c r="C37" s="369">
        <v>0.440480672825983</v>
      </c>
      <c r="D37" s="369">
        <v>0.453695093010762</v>
      </c>
    </row>
    <row r="38" spans="1:4" x14ac:dyDescent="0.25">
      <c r="A38" s="367">
        <v>439016</v>
      </c>
      <c r="B38" s="368" t="s">
        <v>469</v>
      </c>
      <c r="C38" s="369">
        <v>0.540837956288384</v>
      </c>
      <c r="D38" s="369">
        <v>0.557063094977035</v>
      </c>
    </row>
    <row r="39" spans="1:4" x14ac:dyDescent="0.25">
      <c r="A39" s="367">
        <v>439024</v>
      </c>
      <c r="B39" s="368" t="s">
        <v>617</v>
      </c>
      <c r="C39" s="369">
        <v>0.444416527897965</v>
      </c>
      <c r="D39" s="369">
        <v>0.457749023734904</v>
      </c>
    </row>
    <row r="40" spans="1:4" x14ac:dyDescent="0.25">
      <c r="A40" s="367">
        <v>439025</v>
      </c>
      <c r="B40" s="368" t="s">
        <v>672</v>
      </c>
      <c r="C40" s="369">
        <v>0.485268419236717</v>
      </c>
      <c r="D40" s="369">
        <v>0.499826471813818</v>
      </c>
    </row>
    <row r="41" spans="1:4" x14ac:dyDescent="0.25">
      <c r="A41" s="367">
        <v>439028</v>
      </c>
      <c r="B41" s="368" t="s">
        <v>733</v>
      </c>
      <c r="C41" s="369">
        <v>0.359444702562947</v>
      </c>
      <c r="D41" s="369">
        <v>0.370228043639836</v>
      </c>
    </row>
    <row r="42" spans="1:4" x14ac:dyDescent="0.25">
      <c r="A42" s="367">
        <v>439031</v>
      </c>
      <c r="B42" s="368" t="s">
        <v>621</v>
      </c>
      <c r="C42" s="369">
        <v>0.63813225678636</v>
      </c>
      <c r="D42" s="369">
        <v>0.65727622448995</v>
      </c>
    </row>
    <row r="43" spans="1:4" x14ac:dyDescent="0.25">
      <c r="A43" s="367">
        <v>439033</v>
      </c>
      <c r="B43" s="368" t="s">
        <v>801</v>
      </c>
      <c r="C43" s="369">
        <v>0.608477143431567</v>
      </c>
      <c r="D43" s="369">
        <v>0.626731457734514</v>
      </c>
    </row>
    <row r="44" spans="1:4" x14ac:dyDescent="0.25">
      <c r="A44" s="367">
        <v>439035</v>
      </c>
      <c r="B44" s="368" t="s">
        <v>618</v>
      </c>
      <c r="C44" s="369">
        <v>0.3644139841652</v>
      </c>
      <c r="D44" s="369">
        <v>0.375346403690156</v>
      </c>
    </row>
    <row r="45" spans="1:4" x14ac:dyDescent="0.25">
      <c r="A45" s="367">
        <v>439041</v>
      </c>
      <c r="B45" s="368" t="s">
        <v>830</v>
      </c>
      <c r="C45" s="369">
        <v>0.65017124769101</v>
      </c>
      <c r="D45" s="369">
        <v>0.66967638512174</v>
      </c>
    </row>
    <row r="46" spans="1:4" x14ac:dyDescent="0.25">
      <c r="A46" s="367">
        <v>439070</v>
      </c>
      <c r="B46" s="368" t="s">
        <v>838</v>
      </c>
      <c r="C46" s="369">
        <v>0.38729426828849</v>
      </c>
      <c r="D46" s="369">
        <v>0.398913096337145</v>
      </c>
    </row>
    <row r="47" spans="1:4" x14ac:dyDescent="0.25">
      <c r="A47" s="367">
        <v>439071</v>
      </c>
      <c r="B47" s="368" t="s">
        <v>847</v>
      </c>
      <c r="C47" s="369">
        <v>0.419433022548005</v>
      </c>
      <c r="D47" s="369">
        <v>0.432016013224445</v>
      </c>
    </row>
    <row r="48" spans="1:4" x14ac:dyDescent="0.25">
      <c r="A48" s="367">
        <v>439130</v>
      </c>
      <c r="B48" s="368" t="s">
        <v>856</v>
      </c>
      <c r="C48" s="369">
        <v>0.395389172819242</v>
      </c>
      <c r="D48" s="369">
        <v>0.407250848003819</v>
      </c>
    </row>
    <row r="49" spans="1:4" x14ac:dyDescent="0.25">
      <c r="A49" s="367">
        <v>439832</v>
      </c>
      <c r="B49" s="368" t="s">
        <v>862</v>
      </c>
      <c r="C49" s="369">
        <v>0.340241886015865</v>
      </c>
      <c r="D49" s="369">
        <v>0.350449142596341</v>
      </c>
    </row>
    <row r="50" spans="1:4" x14ac:dyDescent="0.25">
      <c r="A50" s="367">
        <v>441024</v>
      </c>
      <c r="B50" s="368" t="s">
        <v>477</v>
      </c>
      <c r="C50" s="369">
        <v>0.417157935956838</v>
      </c>
      <c r="D50" s="369">
        <v>0.429672674035543</v>
      </c>
    </row>
    <row r="51" spans="1:4" x14ac:dyDescent="0.25">
      <c r="A51" s="367">
        <v>441033</v>
      </c>
      <c r="B51" s="368" t="s">
        <v>632</v>
      </c>
      <c r="C51" s="369">
        <v>0.661528483704381</v>
      </c>
      <c r="D51" s="369">
        <v>0.681374338215513</v>
      </c>
    </row>
    <row r="52" spans="1:4" x14ac:dyDescent="0.25">
      <c r="A52" s="367">
        <v>441070</v>
      </c>
      <c r="B52" s="368" t="s">
        <v>719</v>
      </c>
      <c r="C52" s="369">
        <v>0.877190090493044</v>
      </c>
      <c r="D52" s="369">
        <v>0.903505793207836</v>
      </c>
    </row>
    <row r="53" spans="1:4" x14ac:dyDescent="0.25">
      <c r="A53" s="367">
        <v>441916</v>
      </c>
      <c r="B53" s="368" t="s">
        <v>682</v>
      </c>
      <c r="C53" s="369">
        <v>1.07210801433848</v>
      </c>
      <c r="D53" s="369">
        <v>1.10427125476864</v>
      </c>
    </row>
    <row r="54" spans="1:4" x14ac:dyDescent="0.25">
      <c r="A54" s="367">
        <v>441931</v>
      </c>
      <c r="B54" s="368" t="s">
        <v>745</v>
      </c>
      <c r="C54" s="369">
        <v>1.07210801433848</v>
      </c>
      <c r="D54" s="369">
        <v>1.10427125476864</v>
      </c>
    </row>
    <row r="55" spans="1:4" x14ac:dyDescent="0.25">
      <c r="A55" s="367">
        <v>442024</v>
      </c>
      <c r="B55" s="368" t="s">
        <v>478</v>
      </c>
      <c r="C55" s="369">
        <v>0.427603963071992</v>
      </c>
      <c r="D55" s="369">
        <v>0.440432081964152</v>
      </c>
    </row>
    <row r="56" spans="1:4" x14ac:dyDescent="0.25">
      <c r="A56" s="367">
        <v>442033</v>
      </c>
      <c r="B56" s="368" t="s">
        <v>683</v>
      </c>
      <c r="C56" s="369">
        <v>0.555899619821188</v>
      </c>
      <c r="D56" s="369">
        <v>0.572576608415824</v>
      </c>
    </row>
    <row r="57" spans="1:4" x14ac:dyDescent="0.25">
      <c r="A57" s="367">
        <v>442070</v>
      </c>
      <c r="B57" s="368" t="s">
        <v>633</v>
      </c>
      <c r="C57" s="369">
        <v>0.468654975136227</v>
      </c>
      <c r="D57" s="369">
        <v>0.482714624390314</v>
      </c>
    </row>
    <row r="58" spans="1:4" x14ac:dyDescent="0.25">
      <c r="A58" s="367">
        <v>442832</v>
      </c>
      <c r="B58" s="368" t="s">
        <v>720</v>
      </c>
      <c r="C58" s="369">
        <v>0.475444336428961</v>
      </c>
      <c r="D58" s="369">
        <v>0.48970766652183</v>
      </c>
    </row>
    <row r="59" spans="1:4" x14ac:dyDescent="0.25">
      <c r="A59" s="367">
        <v>443799</v>
      </c>
      <c r="B59" s="368" t="s">
        <v>746</v>
      </c>
      <c r="C59" s="369">
        <v>0.69038579967</v>
      </c>
      <c r="D59" s="369">
        <v>0.7110973736601</v>
      </c>
    </row>
    <row r="60" spans="1:4" x14ac:dyDescent="0.25">
      <c r="A60" s="367">
        <v>886407</v>
      </c>
      <c r="B60" s="368" t="s">
        <v>690</v>
      </c>
      <c r="C60" s="369">
        <v>0.319265855052209</v>
      </c>
      <c r="D60" s="369">
        <v>0.328843830703775</v>
      </c>
    </row>
    <row r="61" spans="1:4" x14ac:dyDescent="0.25">
      <c r="A61" s="367">
        <v>991022</v>
      </c>
      <c r="B61" s="368" t="s">
        <v>674</v>
      </c>
      <c r="C61" s="369">
        <v>0.0944296502118541</v>
      </c>
      <c r="D61" s="369">
        <v>0.0972625397182098</v>
      </c>
    </row>
    <row r="62" spans="1:4" x14ac:dyDescent="0.25">
      <c r="A62" s="367">
        <v>991026</v>
      </c>
      <c r="B62" s="368" t="s">
        <v>705</v>
      </c>
      <c r="C62" s="369">
        <v>0.0949243214547703</v>
      </c>
      <c r="D62" s="369">
        <v>0.0977720510984134</v>
      </c>
    </row>
    <row r="63" spans="1:4" x14ac:dyDescent="0.25">
      <c r="A63" s="367">
        <v>991028</v>
      </c>
      <c r="B63" s="368" t="s">
        <v>733</v>
      </c>
      <c r="C63" s="369">
        <v>0.147042590921088</v>
      </c>
      <c r="D63" s="369">
        <v>0.151453868648721</v>
      </c>
    </row>
    <row r="64" spans="1:4" x14ac:dyDescent="0.25">
      <c r="A64" s="367">
        <v>991031</v>
      </c>
      <c r="B64" s="368" t="s">
        <v>621</v>
      </c>
      <c r="C64" s="369">
        <v>0.0773825977826951</v>
      </c>
      <c r="D64" s="369">
        <v>0.079704075716176</v>
      </c>
    </row>
    <row r="65" spans="1:4" x14ac:dyDescent="0.25">
      <c r="A65" s="367">
        <v>991039</v>
      </c>
      <c r="B65" s="368" t="s">
        <v>768</v>
      </c>
      <c r="C65" s="369">
        <v>0.0662661578489061</v>
      </c>
      <c r="D65" s="369">
        <v>0.0682541425843732</v>
      </c>
    </row>
    <row r="66" spans="1:4" x14ac:dyDescent="0.25">
      <c r="A66" s="367">
        <v>991052</v>
      </c>
      <c r="B66" s="368" t="s">
        <v>779</v>
      </c>
      <c r="C66" s="369">
        <v>0.0599879347213046</v>
      </c>
      <c r="D66" s="369">
        <v>0.0617875727629437</v>
      </c>
    </row>
    <row r="67" spans="1:4" x14ac:dyDescent="0.25">
      <c r="A67" s="367">
        <v>991072</v>
      </c>
      <c r="B67" s="368" t="s">
        <v>473</v>
      </c>
      <c r="C67" s="369">
        <v>0.439174174348798</v>
      </c>
      <c r="D67" s="369">
        <v>0.452349399579261</v>
      </c>
    </row>
    <row r="68" spans="1:4" x14ac:dyDescent="0.25">
      <c r="A68" s="367">
        <v>991090</v>
      </c>
      <c r="B68" s="368" t="s">
        <v>793</v>
      </c>
      <c r="C68" s="369">
        <v>0.0514637934848722</v>
      </c>
      <c r="D68" s="369">
        <v>0.0530077072894183</v>
      </c>
    </row>
    <row r="69" spans="1:4" x14ac:dyDescent="0.25">
      <c r="A69" s="367">
        <v>991091</v>
      </c>
      <c r="B69" s="368" t="s">
        <v>810</v>
      </c>
      <c r="C69" s="369">
        <v>0.0514637934848722</v>
      </c>
      <c r="D69" s="369">
        <v>0.0530077072894183</v>
      </c>
    </row>
    <row r="70" spans="1:4" x14ac:dyDescent="0.25">
      <c r="A70" s="367">
        <v>991097</v>
      </c>
      <c r="B70" s="368" t="s">
        <v>821</v>
      </c>
      <c r="C70" s="369">
        <v>0.0612744293475723</v>
      </c>
      <c r="D70" s="369">
        <v>0.0631126622279995</v>
      </c>
    </row>
    <row r="71" spans="1:4" x14ac:dyDescent="0.25">
      <c r="A71" s="367">
        <v>991112</v>
      </c>
      <c r="B71" s="368" t="s">
        <v>829</v>
      </c>
      <c r="C71" s="369">
        <v>0.118367003301941</v>
      </c>
      <c r="D71" s="369">
        <v>0.121918013400999</v>
      </c>
    </row>
    <row r="72" spans="1:4" x14ac:dyDescent="0.25">
      <c r="A72" s="367">
        <v>991114</v>
      </c>
      <c r="B72" s="368" t="s">
        <v>837</v>
      </c>
      <c r="C72" s="369">
        <v>0.128015385124239</v>
      </c>
      <c r="D72" s="369">
        <v>0.131855846677966</v>
      </c>
    </row>
    <row r="73" spans="1:4" x14ac:dyDescent="0.25">
      <c r="A73" s="367">
        <v>991127</v>
      </c>
      <c r="B73" s="368" t="s">
        <v>805</v>
      </c>
      <c r="C73" s="369">
        <v>0.0930984748980691</v>
      </c>
      <c r="D73" s="369">
        <v>0.0958914291450112</v>
      </c>
    </row>
    <row r="74" spans="1:4" x14ac:dyDescent="0.25">
      <c r="A74" s="367">
        <v>991152</v>
      </c>
      <c r="B74" s="368" t="s">
        <v>853</v>
      </c>
      <c r="C74" s="369">
        <v>0.0749647800616153</v>
      </c>
      <c r="D74" s="369">
        <v>0.0772137234634637</v>
      </c>
    </row>
    <row r="75" spans="1:4" x14ac:dyDescent="0.25">
      <c r="A75" s="367">
        <v>991190</v>
      </c>
      <c r="B75" s="368" t="s">
        <v>859</v>
      </c>
      <c r="C75" s="369">
        <v>0.0700164910361686</v>
      </c>
      <c r="D75" s="369">
        <v>0.0721169857672537</v>
      </c>
    </row>
    <row r="76" spans="1:4" x14ac:dyDescent="0.25">
      <c r="A76" s="367">
        <v>991191</v>
      </c>
      <c r="B76" s="368" t="s">
        <v>864</v>
      </c>
      <c r="C76" s="369">
        <v>0.0514637934848722</v>
      </c>
      <c r="D76" s="369">
        <v>0.0530077072894183</v>
      </c>
    </row>
    <row r="77" spans="1:4" x14ac:dyDescent="0.25">
      <c r="A77" s="367">
        <v>991420</v>
      </c>
      <c r="B77" s="368" t="s">
        <v>619</v>
      </c>
      <c r="C77" s="369">
        <v>0.131110584638304</v>
      </c>
      <c r="D77" s="369">
        <v>0.135043902177453</v>
      </c>
    </row>
    <row r="78" spans="1:4" x14ac:dyDescent="0.25">
      <c r="A78" s="367">
        <v>993032</v>
      </c>
      <c r="B78" s="368" t="s">
        <v>614</v>
      </c>
      <c r="C78" s="369">
        <v>0.0986540495375461</v>
      </c>
      <c r="D78" s="369">
        <v>0.101613671023672</v>
      </c>
    </row>
    <row r="79" spans="1:4" x14ac:dyDescent="0.25">
      <c r="A79" s="367">
        <v>993133</v>
      </c>
      <c r="B79" s="368" t="s">
        <v>730</v>
      </c>
      <c r="C79" s="369">
        <v>0.118974452664346</v>
      </c>
      <c r="D79" s="369">
        <v>0.122543686244276</v>
      </c>
    </row>
    <row r="80" spans="1:4" x14ac:dyDescent="0.25">
      <c r="A80" s="367">
        <v>993170</v>
      </c>
      <c r="B80" s="368" t="s">
        <v>472</v>
      </c>
      <c r="C80" s="369">
        <v>0.112034776352428</v>
      </c>
      <c r="D80" s="369">
        <v>0.115395819643001</v>
      </c>
    </row>
    <row r="81" spans="1:4" x14ac:dyDescent="0.25">
      <c r="A81" s="367">
        <v>993171</v>
      </c>
      <c r="B81" s="368" t="s">
        <v>699</v>
      </c>
      <c r="C81" s="369">
        <v>0.0956460041779541</v>
      </c>
      <c r="D81" s="369">
        <v>0.0985153843032927</v>
      </c>
    </row>
    <row r="82" spans="1:4" x14ac:dyDescent="0.25">
      <c r="A82" s="367">
        <v>993271</v>
      </c>
      <c r="B82" s="368" t="s">
        <v>667</v>
      </c>
      <c r="C82" s="369">
        <v>0.126026071212004</v>
      </c>
      <c r="D82" s="369">
        <v>0.129806853348364</v>
      </c>
    </row>
    <row r="83" spans="1:4" x14ac:dyDescent="0.25">
      <c r="A83" s="367">
        <v>993290</v>
      </c>
      <c r="B83" s="368" t="s">
        <v>744</v>
      </c>
      <c r="C83" s="369">
        <v>0.0514637934848722</v>
      </c>
      <c r="D83" s="369">
        <v>0.0530077072894183</v>
      </c>
    </row>
    <row r="84" spans="1:4" x14ac:dyDescent="0.25">
      <c r="A84" s="367">
        <v>993590</v>
      </c>
      <c r="B84" s="368" t="s">
        <v>759</v>
      </c>
      <c r="C84" s="369">
        <v>0.0514637934848722</v>
      </c>
      <c r="D84" s="369">
        <v>0.0530077072894183</v>
      </c>
    </row>
    <row r="85" spans="1:4" x14ac:dyDescent="0.25">
      <c r="A85" s="367">
        <v>993890</v>
      </c>
      <c r="B85" s="368" t="s">
        <v>775</v>
      </c>
      <c r="C85" s="369">
        <v>0.0514637934848722</v>
      </c>
      <c r="D85" s="369">
        <v>0.0530077072894183</v>
      </c>
    </row>
    <row r="86" spans="1:4" x14ac:dyDescent="0.25">
      <c r="A86" s="367">
        <v>998001</v>
      </c>
      <c r="B86" s="368" t="s">
        <v>471</v>
      </c>
      <c r="C86" s="369">
        <v>0.0730752860926873</v>
      </c>
      <c r="D86" s="369">
        <v>0.0752675446754679</v>
      </c>
    </row>
    <row r="87" spans="1:4" x14ac:dyDescent="0.25">
      <c r="A87" s="367">
        <v>998006</v>
      </c>
      <c r="B87" s="368" t="s">
        <v>613</v>
      </c>
      <c r="C87" s="369">
        <v>0.134994553775843</v>
      </c>
      <c r="D87" s="369">
        <v>0.139044390389118</v>
      </c>
    </row>
    <row r="88" spans="1:4" x14ac:dyDescent="0.25">
      <c r="A88" s="367">
        <v>998009</v>
      </c>
      <c r="B88" s="368" t="s">
        <v>670</v>
      </c>
      <c r="C88" s="369">
        <v>0.11721841560502</v>
      </c>
      <c r="D88" s="369">
        <v>0.120734968073171</v>
      </c>
    </row>
    <row r="89" spans="1:4" x14ac:dyDescent="0.25">
      <c r="A89" s="367">
        <v>998012</v>
      </c>
      <c r="B89" s="368" t="s">
        <v>700</v>
      </c>
      <c r="C89" s="369">
        <v>0.0756218122515314</v>
      </c>
      <c r="D89" s="369">
        <v>0.0778904666190773</v>
      </c>
    </row>
    <row r="90" spans="1:4" x14ac:dyDescent="0.25">
      <c r="A90" s="367">
        <v>998014</v>
      </c>
      <c r="B90" s="368" t="s">
        <v>731</v>
      </c>
      <c r="C90" s="369">
        <v>0.154020309633486</v>
      </c>
      <c r="D90" s="369">
        <v>0.15864091892249</v>
      </c>
    </row>
    <row r="91" spans="1:4" x14ac:dyDescent="0.25">
      <c r="A91" s="367">
        <v>998017</v>
      </c>
      <c r="B91" s="368" t="s">
        <v>750</v>
      </c>
      <c r="C91" s="369">
        <v>0.123727361255815</v>
      </c>
      <c r="D91" s="369">
        <v>0.127439182093489</v>
      </c>
    </row>
    <row r="92" spans="1:4" x14ac:dyDescent="0.25">
      <c r="A92" s="367">
        <v>998022</v>
      </c>
      <c r="B92" s="368" t="s">
        <v>762</v>
      </c>
      <c r="C92" s="369">
        <v>0.164476758404369</v>
      </c>
      <c r="D92" s="369">
        <v>0.1694110611565</v>
      </c>
    </row>
    <row r="93" spans="1:4" x14ac:dyDescent="0.25">
      <c r="A93" s="367">
        <v>998023</v>
      </c>
      <c r="B93" s="368" t="s">
        <v>776</v>
      </c>
      <c r="C93" s="369">
        <v>0.185953747406531</v>
      </c>
      <c r="D93" s="369">
        <v>0.191532359828727</v>
      </c>
    </row>
    <row r="94" spans="1:4" x14ac:dyDescent="0.25">
      <c r="A94" s="367">
        <v>998026</v>
      </c>
      <c r="B94" s="368" t="s">
        <v>705</v>
      </c>
      <c r="C94" s="369">
        <v>0.123538432480548</v>
      </c>
      <c r="D94" s="369">
        <v>0.127244585454964</v>
      </c>
    </row>
    <row r="95" spans="1:4" x14ac:dyDescent="0.25">
      <c r="A95" s="367">
        <v>998027</v>
      </c>
      <c r="B95" s="368" t="s">
        <v>805</v>
      </c>
      <c r="C95" s="369">
        <v>0.105678738025284</v>
      </c>
      <c r="D95" s="369">
        <v>0.108849100166043</v>
      </c>
    </row>
    <row r="96" spans="1:4" x14ac:dyDescent="0.25">
      <c r="A96" s="367">
        <v>998028</v>
      </c>
      <c r="B96" s="368" t="s">
        <v>733</v>
      </c>
      <c r="C96" s="369">
        <v>0.147621423458784</v>
      </c>
      <c r="D96" s="369">
        <v>0.152050066162547</v>
      </c>
    </row>
    <row r="97" spans="1:4" x14ac:dyDescent="0.25">
      <c r="A97" s="367">
        <v>998037</v>
      </c>
      <c r="B97" s="368" t="s">
        <v>827</v>
      </c>
      <c r="C97" s="369">
        <v>0.117440407567604</v>
      </c>
      <c r="D97" s="369">
        <v>0.120963619794632</v>
      </c>
    </row>
    <row r="98" spans="1:4" x14ac:dyDescent="0.25">
      <c r="A98" s="367">
        <v>998040</v>
      </c>
      <c r="B98" s="368" t="s">
        <v>834</v>
      </c>
      <c r="C98" s="369">
        <v>0.0548955635930405</v>
      </c>
      <c r="D98" s="369">
        <v>0.0565424305008318</v>
      </c>
    </row>
    <row r="99" spans="1:4" x14ac:dyDescent="0.25">
      <c r="A99" s="367">
        <v>998136</v>
      </c>
      <c r="B99" s="368" t="s">
        <v>843</v>
      </c>
      <c r="C99" s="369">
        <v>0.0984677637247845</v>
      </c>
      <c r="D99" s="369">
        <v>0.101421796636528</v>
      </c>
    </row>
    <row r="100" spans="1:4" x14ac:dyDescent="0.25">
      <c r="A100" s="367">
        <v>998140</v>
      </c>
      <c r="B100" s="368" t="s">
        <v>850</v>
      </c>
      <c r="C100" s="369">
        <v>0.0577984557922452</v>
      </c>
      <c r="D100" s="369">
        <v>0.0595324094660126</v>
      </c>
    </row>
    <row r="101" spans="1:4" x14ac:dyDescent="0.25">
      <c r="A101" s="367">
        <v>998160</v>
      </c>
      <c r="B101" s="368" t="s">
        <v>855</v>
      </c>
      <c r="C101" s="369">
        <v>0.111286241484419</v>
      </c>
      <c r="D101" s="369">
        <v>0.114624828728951</v>
      </c>
    </row>
    <row r="102" spans="1:4" x14ac:dyDescent="0.25">
      <c r="A102" s="367">
        <v>998560</v>
      </c>
      <c r="B102" s="368" t="s">
        <v>861</v>
      </c>
      <c r="C102" s="369">
        <v>0.0822640361807802</v>
      </c>
      <c r="D102" s="369">
        <v>0.0847319572662036</v>
      </c>
    </row>
    <row r="103" spans="1:4" x14ac:dyDescent="0.25">
      <c r="A103" s="367">
        <v>998760</v>
      </c>
      <c r="B103" s="368" t="s">
        <v>866</v>
      </c>
      <c r="C103" s="369">
        <v>0.079058668380528</v>
      </c>
      <c r="D103" s="369">
        <v>0.0814304284319439</v>
      </c>
    </row>
    <row r="104" spans="1:4" x14ac:dyDescent="0.25">
      <c r="A104" s="367">
        <v>1987039</v>
      </c>
      <c r="B104" s="368" t="s">
        <v>615</v>
      </c>
      <c r="C104" s="369">
        <v>0.10410896686204</v>
      </c>
      <c r="D104" s="369">
        <v>0.107232235867902</v>
      </c>
    </row>
    <row r="105" spans="1:4" x14ac:dyDescent="0.25">
      <c r="A105" s="367">
        <v>1987060</v>
      </c>
      <c r="B105" s="368" t="s">
        <v>671</v>
      </c>
      <c r="C105" s="369">
        <v>0.330991811044321</v>
      </c>
      <c r="D105" s="369">
        <v>0.340921565375651</v>
      </c>
    </row>
    <row r="106" spans="1:4" x14ac:dyDescent="0.25">
      <c r="A106" s="367">
        <v>1987072</v>
      </c>
      <c r="B106" s="368" t="s">
        <v>474</v>
      </c>
      <c r="C106" s="369">
        <v>0.288637407620216</v>
      </c>
      <c r="D106" s="369">
        <v>0.297296529848823</v>
      </c>
    </row>
    <row r="107" spans="1:4" x14ac:dyDescent="0.25">
      <c r="A107" s="367">
        <v>1987093</v>
      </c>
      <c r="B107" s="368" t="s">
        <v>752</v>
      </c>
      <c r="C107" s="369">
        <v>0.2628401898322</v>
      </c>
      <c r="D107" s="369">
        <v>0.270725395527166</v>
      </c>
    </row>
    <row r="108" spans="1:4" x14ac:dyDescent="0.25">
      <c r="A108" s="367">
        <v>1987139</v>
      </c>
      <c r="B108" s="368" t="s">
        <v>706</v>
      </c>
      <c r="C108" s="369">
        <v>0.181147156328022</v>
      </c>
      <c r="D108" s="369">
        <v>0.186581571017863</v>
      </c>
    </row>
    <row r="109" spans="1:4" x14ac:dyDescent="0.25">
      <c r="A109" s="367">
        <v>1987160</v>
      </c>
      <c r="B109" s="368" t="s">
        <v>769</v>
      </c>
      <c r="C109" s="369">
        <v>0.338907627744539</v>
      </c>
      <c r="D109" s="369">
        <v>0.349074856576875</v>
      </c>
    </row>
    <row r="110" spans="1:4" x14ac:dyDescent="0.25">
      <c r="A110" s="367">
        <v>1987193</v>
      </c>
      <c r="B110" s="368" t="s">
        <v>734</v>
      </c>
      <c r="C110" s="369">
        <v>0.362240616261808</v>
      </c>
      <c r="D110" s="369">
        <v>0.373107834749662</v>
      </c>
    </row>
    <row r="111" spans="1:4" x14ac:dyDescent="0.25">
      <c r="A111" s="367">
        <v>1987317</v>
      </c>
      <c r="B111" s="368" t="s">
        <v>794</v>
      </c>
      <c r="C111" s="369">
        <v>0.111231679761573</v>
      </c>
      <c r="D111" s="369">
        <v>0.11456863015442</v>
      </c>
    </row>
    <row r="112" spans="1:4" x14ac:dyDescent="0.25">
      <c r="A112" s="367">
        <v>1987960</v>
      </c>
      <c r="B112" s="368" t="s">
        <v>782</v>
      </c>
      <c r="C112" s="369">
        <v>0.122796661293626</v>
      </c>
      <c r="D112" s="369">
        <v>0.126480561132435</v>
      </c>
    </row>
    <row r="113" spans="1:4" x14ac:dyDescent="0.25">
      <c r="A113" s="367">
        <v>3193072</v>
      </c>
      <c r="B113" s="368" t="s">
        <v>486</v>
      </c>
      <c r="C113" s="369">
        <v>0.41439685747137</v>
      </c>
      <c r="D113" s="369">
        <v>0.426828763195511</v>
      </c>
    </row>
    <row r="114" spans="1:4" x14ac:dyDescent="0.25">
      <c r="A114" s="367">
        <v>3193572</v>
      </c>
      <c r="B114" s="368" t="s">
        <v>620</v>
      </c>
      <c r="C114" s="369">
        <v>0.288637407620216</v>
      </c>
      <c r="D114" s="369">
        <v>0.297296529848823</v>
      </c>
    </row>
    <row r="115" spans="1:4" x14ac:dyDescent="0.25">
      <c r="A115" s="367">
        <v>3516193</v>
      </c>
      <c r="B115" s="368" t="s">
        <v>684</v>
      </c>
      <c r="C115" s="369">
        <v>0.425915962553523</v>
      </c>
      <c r="D115" s="369">
        <v>0.438693441430129</v>
      </c>
    </row>
    <row r="116" spans="1:4" x14ac:dyDescent="0.25">
      <c r="A116" s="367">
        <v>3516360</v>
      </c>
      <c r="B116" s="368" t="s">
        <v>480</v>
      </c>
      <c r="C116" s="369">
        <v>0.303224861439165</v>
      </c>
      <c r="D116" s="369">
        <v>0.31232160728234</v>
      </c>
    </row>
    <row r="117" spans="1:4" x14ac:dyDescent="0.25">
      <c r="A117" s="367">
        <v>3516460</v>
      </c>
      <c r="B117" s="368" t="s">
        <v>634</v>
      </c>
      <c r="C117" s="369">
        <v>0.268828286119086</v>
      </c>
      <c r="D117" s="369">
        <v>0.276893134702658</v>
      </c>
    </row>
    <row r="118" spans="1:4" x14ac:dyDescent="0.25">
      <c r="A118" s="367">
        <v>3673024</v>
      </c>
      <c r="B118" s="368" t="s">
        <v>738</v>
      </c>
      <c r="C118" s="369">
        <v>0.378872389012938</v>
      </c>
      <c r="D118" s="369">
        <v>0.390238560683326</v>
      </c>
    </row>
    <row r="119" spans="1:4" x14ac:dyDescent="0.25">
      <c r="A119" s="367">
        <v>3673199</v>
      </c>
      <c r="B119" s="368" t="s">
        <v>715</v>
      </c>
      <c r="C119" s="369">
        <v>0.551043820188517</v>
      </c>
      <c r="D119" s="369">
        <v>0.567575134794173</v>
      </c>
    </row>
    <row r="120" spans="1:4" x14ac:dyDescent="0.25">
      <c r="A120" s="367">
        <v>3673760</v>
      </c>
      <c r="B120" s="368" t="s">
        <v>681</v>
      </c>
      <c r="C120" s="369">
        <v>0.293914523008852</v>
      </c>
      <c r="D120" s="369">
        <v>0.302731958699117</v>
      </c>
    </row>
    <row r="121" spans="1:4" x14ac:dyDescent="0.25">
      <c r="A121" s="367">
        <v>3673916</v>
      </c>
      <c r="B121" s="368" t="s">
        <v>475</v>
      </c>
      <c r="C121" s="369">
        <v>0.578346087885315</v>
      </c>
      <c r="D121" s="369">
        <v>0.595696470521875</v>
      </c>
    </row>
    <row r="122" spans="1:4" x14ac:dyDescent="0.25">
      <c r="A122" s="367">
        <v>3673931</v>
      </c>
      <c r="B122" s="368" t="s">
        <v>631</v>
      </c>
      <c r="C122" s="369">
        <v>0.690072036681342</v>
      </c>
      <c r="D122" s="369">
        <v>0.710774197781782</v>
      </c>
    </row>
    <row r="123" spans="1:4" x14ac:dyDescent="0.25">
      <c r="A123" s="367">
        <v>4516060</v>
      </c>
      <c r="B123" s="368" t="s">
        <v>685</v>
      </c>
      <c r="C123" s="369">
        <v>0.330087373913609</v>
      </c>
      <c r="D123" s="369">
        <v>0.339989995131017</v>
      </c>
    </row>
    <row r="124" spans="1:4" x14ac:dyDescent="0.25">
      <c r="A124" s="367">
        <v>4516093</v>
      </c>
      <c r="B124" s="368" t="s">
        <v>481</v>
      </c>
      <c r="C124" s="369">
        <v>0.315674014720244</v>
      </c>
      <c r="D124" s="369">
        <v>0.325144235161851</v>
      </c>
    </row>
    <row r="125" spans="1:4" x14ac:dyDescent="0.25">
      <c r="A125" s="367">
        <v>4516160</v>
      </c>
      <c r="B125" s="368" t="s">
        <v>635</v>
      </c>
      <c r="C125" s="369">
        <v>0.330087373913609</v>
      </c>
      <c r="D125" s="369">
        <v>0.339989995131017</v>
      </c>
    </row>
    <row r="126" spans="1:4" x14ac:dyDescent="0.25">
      <c r="A126" s="367">
        <v>4543132</v>
      </c>
      <c r="B126" s="368" t="s">
        <v>686</v>
      </c>
      <c r="C126" s="369">
        <v>0.354652744203666</v>
      </c>
      <c r="D126" s="369">
        <v>0.365292326529776</v>
      </c>
    </row>
    <row r="127" spans="1:4" x14ac:dyDescent="0.25">
      <c r="A127" s="367">
        <v>4543760</v>
      </c>
      <c r="B127" s="368" t="s">
        <v>482</v>
      </c>
      <c r="C127" s="369" t="s">
        <v>1451</v>
      </c>
      <c r="D127" s="369" t="s">
        <v>1451</v>
      </c>
    </row>
    <row r="128" spans="1:4" x14ac:dyDescent="0.25">
      <c r="A128" s="367">
        <v>4543860</v>
      </c>
      <c r="B128" s="368" t="s">
        <v>636</v>
      </c>
      <c r="C128" s="369">
        <v>0.522795222858968</v>
      </c>
      <c r="D128" s="369">
        <v>0.538479079544737</v>
      </c>
    </row>
    <row r="129" spans="1:4" x14ac:dyDescent="0.25">
      <c r="A129" s="367">
        <v>4545160</v>
      </c>
      <c r="B129" s="368" t="s">
        <v>483</v>
      </c>
      <c r="C129" s="369">
        <v>0.450296835125922</v>
      </c>
      <c r="D129" s="369">
        <v>0.4638057401797</v>
      </c>
    </row>
    <row r="130" spans="1:4" x14ac:dyDescent="0.25">
      <c r="A130" s="367">
        <v>4545460</v>
      </c>
      <c r="B130" s="368" t="s">
        <v>627</v>
      </c>
      <c r="C130" s="369">
        <v>0.301369216447316</v>
      </c>
      <c r="D130" s="369">
        <v>0.310410292940735</v>
      </c>
    </row>
    <row r="131" spans="1:4" x14ac:dyDescent="0.25">
      <c r="A131" s="367">
        <v>4545960</v>
      </c>
      <c r="B131" s="368" t="s">
        <v>679</v>
      </c>
      <c r="C131" s="369">
        <v>0.43536168148354</v>
      </c>
      <c r="D131" s="369">
        <v>0.448422531928046</v>
      </c>
    </row>
    <row r="132" spans="1:4" x14ac:dyDescent="0.25">
      <c r="A132" s="367">
        <v>4546960</v>
      </c>
      <c r="B132" s="368" t="s">
        <v>484</v>
      </c>
      <c r="C132" s="369">
        <v>0.539879983485514</v>
      </c>
      <c r="D132" s="369">
        <v>0.556076382990079</v>
      </c>
    </row>
    <row r="133" spans="1:4" x14ac:dyDescent="0.25">
      <c r="A133" s="367">
        <v>4858160</v>
      </c>
      <c r="B133" s="368" t="s">
        <v>485</v>
      </c>
      <c r="C133" s="369">
        <v>0.533103033549818</v>
      </c>
      <c r="D133" s="369">
        <v>0.549096124556313</v>
      </c>
    </row>
    <row r="134" spans="1:4" x14ac:dyDescent="0.25">
      <c r="A134" s="367">
        <v>4858460</v>
      </c>
      <c r="B134" s="368" t="s">
        <v>628</v>
      </c>
      <c r="C134" s="369">
        <v>0.683251384634832</v>
      </c>
      <c r="D134" s="369">
        <v>0.703748926173877</v>
      </c>
    </row>
    <row r="135" spans="1:4" x14ac:dyDescent="0.25">
      <c r="A135" s="367">
        <v>4858560</v>
      </c>
      <c r="B135" s="368" t="s">
        <v>680</v>
      </c>
      <c r="C135" s="369">
        <v>0.344250094153062</v>
      </c>
      <c r="D135" s="369">
        <v>0.354577596977653</v>
      </c>
    </row>
    <row r="136" spans="1:4" x14ac:dyDescent="0.25">
      <c r="A136" s="367">
        <v>4865132</v>
      </c>
      <c r="B136" s="368" t="s">
        <v>741</v>
      </c>
      <c r="C136" s="369">
        <v>0.365498528920876</v>
      </c>
      <c r="D136" s="369">
        <v>0.376463484788502</v>
      </c>
    </row>
    <row r="137" spans="1:4" x14ac:dyDescent="0.25">
      <c r="A137" s="367">
        <v>4865160</v>
      </c>
      <c r="B137" s="368" t="s">
        <v>485</v>
      </c>
      <c r="C137" s="369">
        <v>0.533103033549818</v>
      </c>
      <c r="D137" s="369">
        <v>0.549096124556313</v>
      </c>
    </row>
    <row r="138" spans="1:4" x14ac:dyDescent="0.25">
      <c r="A138" s="367">
        <v>4865199</v>
      </c>
      <c r="B138" s="368" t="s">
        <v>761</v>
      </c>
      <c r="C138" s="369">
        <v>0.79293877873518</v>
      </c>
      <c r="D138" s="369">
        <v>0.816726942097236</v>
      </c>
    </row>
    <row r="139" spans="1:4" x14ac:dyDescent="0.25">
      <c r="A139" s="367">
        <v>5687036</v>
      </c>
      <c r="B139" s="368" t="s">
        <v>476</v>
      </c>
      <c r="C139" s="369">
        <v>0.598375547216383</v>
      </c>
      <c r="D139" s="369">
        <v>0.616326813632874</v>
      </c>
    </row>
    <row r="140" spans="1:4" x14ac:dyDescent="0.25">
      <c r="A140" s="367">
        <v>6173460</v>
      </c>
      <c r="B140" s="368" t="s">
        <v>629</v>
      </c>
      <c r="C140" s="369">
        <v>0.307770655703661</v>
      </c>
      <c r="D140" s="369">
        <v>0.317003775374771</v>
      </c>
    </row>
    <row r="141" spans="1:4" x14ac:dyDescent="0.25">
      <c r="A141" s="367">
        <v>6173916</v>
      </c>
      <c r="B141" s="368" t="s">
        <v>678</v>
      </c>
      <c r="C141" s="369">
        <v>1.16188773799534</v>
      </c>
      <c r="D141" s="369">
        <v>1.1967443701352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porcionados</vt:lpstr>
      <vt:lpstr>asados</vt:lpstr>
      <vt:lpstr>logs</vt:lpstr>
      <vt:lpstr>mano de obra</vt:lpstr>
      <vt:lpstr>VNR</vt:lpstr>
      <vt:lpstr>envases</vt:lpstr>
      <vt:lpstr>resultado</vt:lpstr>
      <vt:lpstr>insumos</vt:lpstr>
      <vt:lpstr>hacienda</vt:lpstr>
      <vt:lpstr>Resumen Costos Envases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Perez</dc:creator>
  <dc:title/>
  <dc:subject/>
  <dc:description/>
  <dc:language>es-ES</dc:language>
  <cp:lastModifiedBy>Fernando Perez</cp:lastModifiedBy>
  <cp:lastPrinted>2026-09-12T11:37:11Z</cp:lastPrinted>
  <cp:revision>5</cp:revision>
  <dcterms:created xsi:type="dcterms:W3CDTF">2026-02-04T11:06:46Z</dcterms:created>
  <dcterms:modified xsi:type="dcterms:W3CDTF">2026-09-14T12:54:43Z</dcterms:modified>
</cp:coreProperties>
</file>